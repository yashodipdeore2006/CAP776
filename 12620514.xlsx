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FA255365-9B78-480D-9037-77179D316F3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I36" i="2"/>
  <c r="J36" i="2" s="1"/>
  <c r="I34" i="2"/>
  <c r="J34" i="2" s="1"/>
  <c r="I33" i="2"/>
  <c r="J33" i="2" s="1"/>
  <c r="I32" i="2"/>
  <c r="J32" i="2" s="1"/>
  <c r="J31" i="2"/>
  <c r="I31" i="2"/>
  <c r="I30" i="2"/>
  <c r="J30" i="2" s="1"/>
  <c r="I29" i="2"/>
  <c r="J29" i="2" s="1"/>
  <c r="J28" i="2"/>
  <c r="I28" i="2"/>
  <c r="I27" i="2"/>
  <c r="J27" i="2" s="1"/>
  <c r="J26" i="2"/>
  <c r="I26" i="2"/>
  <c r="I25" i="2"/>
  <c r="J25" i="2" s="1"/>
  <c r="J24" i="2"/>
  <c r="I24" i="2"/>
  <c r="I23" i="2"/>
  <c r="J23" i="2" s="1"/>
  <c r="I22" i="2"/>
  <c r="J22" i="2" s="1"/>
  <c r="I21" i="2"/>
  <c r="J21" i="2" s="1"/>
  <c r="I35" i="2"/>
  <c r="J35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H20" i="2" l="1"/>
  <c r="E20" i="2"/>
  <c r="D20" i="2"/>
  <c r="B20" i="2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6" i="2"/>
  <c r="J6" i="2" s="1"/>
  <c r="I20" i="2" l="1"/>
  <c r="J20" i="2" s="1"/>
</calcChain>
</file>

<file path=xl/sharedStrings.xml><?xml version="1.0" encoding="utf-8"?>
<sst xmlns="http://schemas.openxmlformats.org/spreadsheetml/2006/main" count="182" uniqueCount="94">
  <si>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</si>
  <si>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</si>
  <si>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</si>
  <si>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</si>
  <si>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</si>
  <si>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</si>
  <si>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</si>
  <si>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</si>
  <si>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</si>
  <si>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</si>
  <si>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</si>
  <si>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</si>
  <si>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</si>
  <si>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</si>
  <si>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</si>
  <si>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</si>
  <si>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</si>
  <si>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</si>
  <si>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</si>
  <si>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</si>
  <si>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</si>
  <si>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</si>
  <si>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</si>
  <si>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</si>
  <si>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</si>
  <si>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</si>
  <si>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</si>
  <si>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</si>
  <si>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</si>
  <si>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</si>
  <si>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</si>
  <si>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</si>
  <si>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Yashdip Deore</t>
  </si>
  <si>
    <t>Registration No.:</t>
  </si>
  <si>
    <t>Course / Section:</t>
  </si>
  <si>
    <t>MCA / 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</si>
  <si>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</si>
  <si>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</si>
  <si>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</si>
  <si>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</si>
  <si>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</si>
  <si>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</si>
  <si>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</si>
  <si>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</si>
  <si>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</si>
  <si>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</si>
  <si>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</si>
  <si>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</si>
  <si>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</si>
  <si>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</si>
  <si>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</si>
  <si>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</si>
  <si>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</si>
  <si>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</si>
  <si>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</si>
  <si>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</si>
  <si>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</si>
  <si>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</si>
  <si>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Neutral</t>
  </si>
  <si>
    <t>Felt productive but unable to complete all the tasks</t>
  </si>
  <si>
    <t>Stressed</t>
  </si>
  <si>
    <t>High</t>
  </si>
  <si>
    <t>Overall the day was good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</si>
  <si>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</si>
  <si>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</si>
  <si>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</si>
  <si>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</si>
  <si>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</si>
  <si>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</si>
  <si>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</si>
  <si>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</si>
  <si>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Good Day , and practicing new skills</t>
  </si>
  <si>
    <t>Excellent</t>
  </si>
  <si>
    <t>Very Satisfied</t>
  </si>
  <si>
    <t>Attending  first lecture of comunication and talk in english some sentences .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</si>
  <si>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</si>
  <si>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</si>
  <si>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</si>
  <si>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</si>
  <si>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</si>
  <si>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starting study for CA .</t>
  </si>
  <si>
    <t>nothing special , regular day</t>
  </si>
  <si>
    <t xml:space="preserve">learning about computer network for CA </t>
  </si>
  <si>
    <t>regular day</t>
  </si>
  <si>
    <t xml:space="preserve">starting preaparation about CA and main goal </t>
  </si>
  <si>
    <t>Nothing special just preparation for the CA</t>
  </si>
  <si>
    <t>Start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</si>
  <si>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</si>
  <si>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</si>
  <si>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</si>
  <si>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</si>
  <si>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</si>
  <si>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>Today I give CA of Python and solve some DSA type questions for the practice</t>
  </si>
  <si>
    <t xml:space="preserve">Attended mentor meeting and and enery level was queit low in in morning but letter in the afternoon I felt energetic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</si>
</sst>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yyyy\-mm\-dd"/>
  </numFmts>
  <fonts count="14" x14ac:knownFonts="1"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  <font>
      <sz val="11"/>
      <color rgb="FF0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9" fillId="0" borderId="0" xfId="0" applyFont="1"/>
    <xf numFmtId="0" fontId="6" fillId="0" borderId="0" xfId="0" applyFont="1"/>
    <xf numFmtId="0" fontId="8" fillId="2" borderId="1" xfId="0" applyFont="1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42.109375" customWidth="1"/>
    <col min="2" max="24" width="13.5546875" customWidth="1"/>
  </cols>
  <sheetData>
    <row r="1" spans="1:1" ht="18.600000000000001" customHeight="1" x14ac:dyDescent="0.4">
      <c r="A1" s="1" t="s">
        <v>0</v>
      </c>
    </row>
    <row r="2" spans="1:1" ht="13.2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4"/>
  <sheetViews>
    <sheetView tabSelected="1" zoomScale="93" zoomScaleNormal="130" workbookViewId="0">
      <pane xSplit="1" ySplit="5" topLeftCell="B34" activePane="bottomRight" state="frozen"/>
      <selection pane="topRight"/>
      <selection pane="bottomLeft"/>
      <selection pane="bottomRight" activeCell="A38" sqref="A38"/>
    </sheetView>
  </sheetViews>
  <sheetFormatPr defaultRowHeight="14.4" x14ac:dyDescent="0.3"/>
  <cols>
    <col min="1" max="1" width="19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4" width="13.5546875" customWidth="1"/>
  </cols>
  <sheetData>
    <row r="1" spans="1:14" ht="21.75" customHeight="1" x14ac:dyDescent="0.3">
      <c r="A1" s="22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31</v>
      </c>
      <c r="B2" s="23" t="s">
        <v>32</v>
      </c>
      <c r="C2" s="23"/>
      <c r="D2" s="23"/>
      <c r="E2" s="6" t="s">
        <v>33</v>
      </c>
      <c r="F2" s="23">
        <v>12620514</v>
      </c>
      <c r="G2" s="23"/>
    </row>
    <row r="3" spans="1:14" ht="19.5" customHeight="1" x14ac:dyDescent="0.3">
      <c r="A3" s="6" t="s">
        <v>34</v>
      </c>
      <c r="B3" s="23" t="s">
        <v>35</v>
      </c>
      <c r="C3" s="23"/>
      <c r="D3" s="23"/>
      <c r="E3" s="6" t="s">
        <v>36</v>
      </c>
      <c r="F3" s="23" t="s">
        <v>37</v>
      </c>
      <c r="G3" s="23"/>
    </row>
    <row r="4" spans="1:14" x14ac:dyDescent="0.3">
      <c r="A4" s="21" t="s">
        <v>38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2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57.6" x14ac:dyDescent="0.3">
      <c r="A6" s="8" t="s">
        <v>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82" si="0">IF(SUM(B6:F6,H6)=0,"",SUM(B6:F6,H6))</f>
        <v>885</v>
      </c>
      <c r="J6" s="10">
        <f t="shared" ref="J6:J82" si="1">IF(I6="","",1440-I6)</f>
        <v>555</v>
      </c>
      <c r="K6" s="9" t="s">
        <v>54</v>
      </c>
      <c r="L6" s="9" t="s">
        <v>55</v>
      </c>
      <c r="M6" s="9" t="s">
        <v>56</v>
      </c>
      <c r="N6" s="11" t="s">
        <v>57</v>
      </c>
    </row>
    <row r="7" spans="1:14" x14ac:dyDescent="0.3">
      <c r="A7" s="16">
        <v>46251</v>
      </c>
      <c r="B7" s="17">
        <v>480</v>
      </c>
      <c r="C7" s="17">
        <v>0</v>
      </c>
      <c r="D7" s="17">
        <v>360</v>
      </c>
      <c r="E7" s="17">
        <v>60</v>
      </c>
      <c r="F7" s="17">
        <v>0</v>
      </c>
      <c r="G7" s="17">
        <v>0</v>
      </c>
      <c r="H7" s="17">
        <v>120</v>
      </c>
      <c r="I7" s="18">
        <f t="shared" si="0"/>
        <v>1020</v>
      </c>
      <c r="J7" s="18">
        <f t="shared" si="1"/>
        <v>420</v>
      </c>
      <c r="K7" s="19" t="s">
        <v>54</v>
      </c>
      <c r="L7" s="19" t="s">
        <v>58</v>
      </c>
      <c r="M7" s="19" t="s">
        <v>56</v>
      </c>
      <c r="N7" s="20" t="s">
        <v>63</v>
      </c>
    </row>
    <row r="8" spans="1:14" ht="28.8" x14ac:dyDescent="0.3">
      <c r="A8" s="16">
        <v>46252</v>
      </c>
      <c r="B8" s="17">
        <v>420</v>
      </c>
      <c r="C8" s="17">
        <v>0</v>
      </c>
      <c r="D8" s="17">
        <v>240</v>
      </c>
      <c r="E8" s="17">
        <v>45</v>
      </c>
      <c r="F8" s="17">
        <v>300</v>
      </c>
      <c r="G8" s="17">
        <v>3</v>
      </c>
      <c r="H8" s="17">
        <v>240</v>
      </c>
      <c r="I8" s="18">
        <f t="shared" si="0"/>
        <v>1245</v>
      </c>
      <c r="J8" s="18">
        <f t="shared" si="1"/>
        <v>195</v>
      </c>
      <c r="K8" s="19" t="s">
        <v>58</v>
      </c>
      <c r="L8" s="19" t="s">
        <v>58</v>
      </c>
      <c r="M8" s="19" t="s">
        <v>64</v>
      </c>
      <c r="N8" s="20" t="s">
        <v>65</v>
      </c>
    </row>
    <row r="9" spans="1:14" x14ac:dyDescent="0.3">
      <c r="A9" s="16">
        <v>46253</v>
      </c>
      <c r="B9" s="17">
        <v>480</v>
      </c>
      <c r="C9" s="17">
        <v>0</v>
      </c>
      <c r="D9" s="17">
        <v>0</v>
      </c>
      <c r="E9" s="17">
        <v>0</v>
      </c>
      <c r="F9" s="17">
        <v>420</v>
      </c>
      <c r="G9" s="17">
        <v>3</v>
      </c>
      <c r="H9" s="17">
        <v>300</v>
      </c>
      <c r="I9" s="18">
        <f t="shared" si="0"/>
        <v>1200</v>
      </c>
      <c r="J9" s="18">
        <f t="shared" si="1"/>
        <v>240</v>
      </c>
      <c r="K9" s="19" t="s">
        <v>64</v>
      </c>
      <c r="L9" s="19" t="s">
        <v>66</v>
      </c>
      <c r="M9" s="19" t="s">
        <v>64</v>
      </c>
      <c r="N9" s="20" t="s">
        <v>67</v>
      </c>
    </row>
    <row r="10" spans="1:14" x14ac:dyDescent="0.3">
      <c r="A10" s="16">
        <v>46254</v>
      </c>
      <c r="B10" s="17">
        <v>400</v>
      </c>
      <c r="C10" s="17">
        <v>0</v>
      </c>
      <c r="D10" s="17">
        <v>180</v>
      </c>
      <c r="E10" s="17">
        <v>0</v>
      </c>
      <c r="F10" s="17">
        <v>360</v>
      </c>
      <c r="G10" s="17">
        <v>6</v>
      </c>
      <c r="H10" s="17">
        <v>250</v>
      </c>
      <c r="I10" s="18">
        <f t="shared" si="0"/>
        <v>1190</v>
      </c>
      <c r="J10" s="18">
        <f t="shared" si="1"/>
        <v>250</v>
      </c>
      <c r="K10" s="19" t="s">
        <v>54</v>
      </c>
      <c r="L10" s="19" t="s">
        <v>55</v>
      </c>
      <c r="M10" s="19" t="s">
        <v>56</v>
      </c>
      <c r="N10" s="20" t="s">
        <v>68</v>
      </c>
    </row>
    <row r="11" spans="1:14" ht="57.6" x14ac:dyDescent="0.3">
      <c r="A11" s="16">
        <v>46255</v>
      </c>
      <c r="B11" s="17">
        <v>450</v>
      </c>
      <c r="C11" s="17">
        <v>20</v>
      </c>
      <c r="D11" s="17">
        <v>240</v>
      </c>
      <c r="E11" s="17">
        <v>30</v>
      </c>
      <c r="F11" s="17">
        <v>360</v>
      </c>
      <c r="G11" s="17">
        <v>6</v>
      </c>
      <c r="H11" s="17">
        <v>200</v>
      </c>
      <c r="I11" s="18">
        <f t="shared" si="0"/>
        <v>1300</v>
      </c>
      <c r="J11" s="18">
        <f t="shared" si="1"/>
        <v>140</v>
      </c>
      <c r="K11" s="19" t="s">
        <v>54</v>
      </c>
      <c r="L11" s="19" t="s">
        <v>55</v>
      </c>
      <c r="M11" s="19" t="s">
        <v>56</v>
      </c>
      <c r="N11" s="20" t="s">
        <v>69</v>
      </c>
    </row>
    <row r="12" spans="1:14" x14ac:dyDescent="0.3">
      <c r="A12" s="16">
        <v>46256</v>
      </c>
      <c r="B12" s="17">
        <v>540</v>
      </c>
      <c r="C12" s="17">
        <v>0</v>
      </c>
      <c r="D12" s="17">
        <v>450</v>
      </c>
      <c r="E12" s="17">
        <v>120</v>
      </c>
      <c r="F12" s="17">
        <v>0</v>
      </c>
      <c r="G12" s="17">
        <v>0</v>
      </c>
      <c r="H12" s="17">
        <v>300</v>
      </c>
      <c r="I12" s="18">
        <f t="shared" si="0"/>
        <v>1410</v>
      </c>
      <c r="J12" s="18">
        <f t="shared" si="1"/>
        <v>30</v>
      </c>
      <c r="K12" s="19" t="s">
        <v>54</v>
      </c>
      <c r="L12" s="19" t="s">
        <v>55</v>
      </c>
      <c r="M12" s="19" t="s">
        <v>56</v>
      </c>
      <c r="N12" s="20" t="s">
        <v>70</v>
      </c>
    </row>
    <row r="13" spans="1:14" ht="28.8" x14ac:dyDescent="0.3">
      <c r="A13" s="16">
        <v>46257</v>
      </c>
      <c r="B13" s="17">
        <v>420</v>
      </c>
      <c r="C13" s="17">
        <v>30</v>
      </c>
      <c r="D13" s="17">
        <v>390</v>
      </c>
      <c r="E13" s="17">
        <v>150</v>
      </c>
      <c r="F13" s="17">
        <v>0</v>
      </c>
      <c r="G13" s="17">
        <v>0</v>
      </c>
      <c r="H13" s="17">
        <v>350</v>
      </c>
      <c r="I13" s="18">
        <f t="shared" si="0"/>
        <v>1340</v>
      </c>
      <c r="J13" s="18">
        <f t="shared" si="1"/>
        <v>100</v>
      </c>
      <c r="K13" s="19" t="s">
        <v>58</v>
      </c>
      <c r="L13" s="19" t="s">
        <v>55</v>
      </c>
      <c r="M13" s="19" t="s">
        <v>56</v>
      </c>
      <c r="N13" s="20" t="s">
        <v>71</v>
      </c>
    </row>
    <row r="14" spans="1:14" ht="43.2" x14ac:dyDescent="0.3">
      <c r="A14" s="16">
        <v>46258</v>
      </c>
      <c r="B14" s="17">
        <v>390</v>
      </c>
      <c r="C14" s="17">
        <v>0</v>
      </c>
      <c r="D14" s="17">
        <v>480</v>
      </c>
      <c r="E14" s="17">
        <v>150</v>
      </c>
      <c r="F14" s="17">
        <v>240</v>
      </c>
      <c r="G14" s="17">
        <v>4</v>
      </c>
      <c r="H14" s="17">
        <v>180</v>
      </c>
      <c r="I14" s="18">
        <f t="shared" si="0"/>
        <v>1440</v>
      </c>
      <c r="J14" s="18">
        <f t="shared" si="1"/>
        <v>0</v>
      </c>
      <c r="K14" s="19" t="s">
        <v>72</v>
      </c>
      <c r="L14" s="19" t="s">
        <v>73</v>
      </c>
      <c r="M14" s="19" t="s">
        <v>61</v>
      </c>
      <c r="N14" s="20" t="s">
        <v>74</v>
      </c>
    </row>
    <row r="15" spans="1:14" x14ac:dyDescent="0.3">
      <c r="A15" s="16">
        <v>46259</v>
      </c>
      <c r="B15" s="17">
        <v>420</v>
      </c>
      <c r="C15" s="17">
        <v>20</v>
      </c>
      <c r="D15" s="17">
        <v>450</v>
      </c>
      <c r="E15" s="17">
        <v>70</v>
      </c>
      <c r="F15" s="17">
        <v>360</v>
      </c>
      <c r="G15" s="17">
        <v>6</v>
      </c>
      <c r="H15" s="17">
        <v>100</v>
      </c>
      <c r="I15" s="18">
        <f t="shared" si="0"/>
        <v>1420</v>
      </c>
      <c r="J15" s="18">
        <f t="shared" si="1"/>
        <v>20</v>
      </c>
      <c r="K15" s="19" t="s">
        <v>54</v>
      </c>
      <c r="L15" s="19" t="s">
        <v>58</v>
      </c>
      <c r="M15" s="19" t="s">
        <v>56</v>
      </c>
      <c r="N15" s="20" t="s">
        <v>75</v>
      </c>
    </row>
    <row r="16" spans="1:14" ht="28.8" x14ac:dyDescent="0.3">
      <c r="A16" s="16">
        <v>46260</v>
      </c>
      <c r="B16" s="17">
        <v>420</v>
      </c>
      <c r="C16" s="17">
        <v>30</v>
      </c>
      <c r="D16" s="17">
        <v>400</v>
      </c>
      <c r="E16" s="17">
        <v>100</v>
      </c>
      <c r="F16" s="17">
        <v>360</v>
      </c>
      <c r="G16" s="17">
        <v>6</v>
      </c>
      <c r="H16" s="17">
        <v>100</v>
      </c>
      <c r="I16" s="18">
        <f t="shared" si="0"/>
        <v>1410</v>
      </c>
      <c r="J16" s="18">
        <f t="shared" si="1"/>
        <v>30</v>
      </c>
      <c r="K16" s="19" t="s">
        <v>54</v>
      </c>
      <c r="L16" s="19" t="s">
        <v>55</v>
      </c>
      <c r="M16" s="19" t="s">
        <v>56</v>
      </c>
      <c r="N16" s="20" t="s">
        <v>76</v>
      </c>
    </row>
    <row r="17" spans="1:14" x14ac:dyDescent="0.3">
      <c r="A17" s="16">
        <v>46261</v>
      </c>
      <c r="B17" s="17">
        <v>300</v>
      </c>
      <c r="C17" s="17">
        <v>30</v>
      </c>
      <c r="D17" s="17">
        <v>300</v>
      </c>
      <c r="E17" s="17">
        <v>120</v>
      </c>
      <c r="F17" s="17">
        <v>360</v>
      </c>
      <c r="G17" s="17">
        <v>6</v>
      </c>
      <c r="H17" s="17">
        <v>300</v>
      </c>
      <c r="I17" s="18">
        <f t="shared" si="0"/>
        <v>1410</v>
      </c>
      <c r="J17" s="18">
        <f t="shared" si="1"/>
        <v>30</v>
      </c>
      <c r="K17" s="19" t="s">
        <v>72</v>
      </c>
      <c r="L17" s="19" t="s">
        <v>55</v>
      </c>
      <c r="M17" s="19" t="s">
        <v>56</v>
      </c>
      <c r="N17" s="20" t="s">
        <v>77</v>
      </c>
    </row>
    <row r="18" spans="1:14" x14ac:dyDescent="0.3">
      <c r="A18" s="16">
        <v>46262</v>
      </c>
      <c r="B18" s="17">
        <v>420</v>
      </c>
      <c r="C18" s="17">
        <v>0</v>
      </c>
      <c r="D18" s="17">
        <v>250</v>
      </c>
      <c r="E18" s="17">
        <v>60</v>
      </c>
      <c r="F18" s="17">
        <v>420</v>
      </c>
      <c r="G18" s="17">
        <v>7</v>
      </c>
      <c r="H18" s="17">
        <v>250</v>
      </c>
      <c r="I18" s="18">
        <f t="shared" si="0"/>
        <v>1400</v>
      </c>
      <c r="J18" s="18">
        <f t="shared" si="1"/>
        <v>40</v>
      </c>
      <c r="K18" s="19" t="s">
        <v>58</v>
      </c>
      <c r="L18" s="19" t="s">
        <v>58</v>
      </c>
      <c r="M18" s="19" t="s">
        <v>61</v>
      </c>
      <c r="N18" s="20" t="s">
        <v>78</v>
      </c>
    </row>
    <row r="19" spans="1:14" ht="28.8" x14ac:dyDescent="0.3">
      <c r="A19" s="16">
        <v>46263</v>
      </c>
      <c r="B19" s="17">
        <v>300</v>
      </c>
      <c r="C19" s="17">
        <v>0</v>
      </c>
      <c r="D19" s="17">
        <v>200</v>
      </c>
      <c r="E19" s="17">
        <v>0</v>
      </c>
      <c r="F19" s="17">
        <v>0</v>
      </c>
      <c r="G19" s="17">
        <v>0</v>
      </c>
      <c r="H19" s="17">
        <v>900</v>
      </c>
      <c r="I19" s="18">
        <f t="shared" si="0"/>
        <v>1400</v>
      </c>
      <c r="J19" s="18">
        <f t="shared" si="1"/>
        <v>40</v>
      </c>
      <c r="K19" s="19" t="s">
        <v>72</v>
      </c>
      <c r="L19" s="19" t="s">
        <v>73</v>
      </c>
      <c r="M19" s="19" t="s">
        <v>61</v>
      </c>
      <c r="N19" s="20" t="s">
        <v>79</v>
      </c>
    </row>
    <row r="20" spans="1:14" ht="28.8" x14ac:dyDescent="0.3">
      <c r="A20" s="12">
        <v>46264</v>
      </c>
      <c r="B20" s="13">
        <f>8*60</f>
        <v>480</v>
      </c>
      <c r="C20" s="13">
        <v>0</v>
      </c>
      <c r="D20" s="13">
        <f>2*60</f>
        <v>120</v>
      </c>
      <c r="E20" s="13">
        <f>2*60</f>
        <v>120</v>
      </c>
      <c r="F20" s="13"/>
      <c r="G20" s="13"/>
      <c r="H20" s="13">
        <f>2*60</f>
        <v>120</v>
      </c>
      <c r="I20" s="14">
        <f t="shared" si="0"/>
        <v>840</v>
      </c>
      <c r="J20" s="14">
        <f t="shared" si="1"/>
        <v>600</v>
      </c>
      <c r="K20" s="13" t="s">
        <v>54</v>
      </c>
      <c r="L20" s="13" t="s">
        <v>58</v>
      </c>
      <c r="M20" s="13" t="s">
        <v>56</v>
      </c>
      <c r="N20" s="15" t="s">
        <v>59</v>
      </c>
    </row>
    <row r="21" spans="1:14" x14ac:dyDescent="0.3">
      <c r="A21" s="16">
        <v>46265</v>
      </c>
      <c r="B21" s="17">
        <v>420</v>
      </c>
      <c r="C21" s="17">
        <v>0</v>
      </c>
      <c r="D21" s="17">
        <v>450</v>
      </c>
      <c r="E21" s="17">
        <v>120</v>
      </c>
      <c r="F21" s="17">
        <v>120</v>
      </c>
      <c r="G21" s="17">
        <v>2</v>
      </c>
      <c r="H21" s="17">
        <v>300</v>
      </c>
      <c r="I21" s="18">
        <f t="shared" si="0"/>
        <v>1410</v>
      </c>
      <c r="J21" s="18">
        <f t="shared" si="1"/>
        <v>30</v>
      </c>
      <c r="K21" s="19" t="s">
        <v>54</v>
      </c>
      <c r="L21" s="19" t="s">
        <v>55</v>
      </c>
      <c r="M21" s="19" t="s">
        <v>56</v>
      </c>
      <c r="N21" s="20" t="s">
        <v>80</v>
      </c>
    </row>
    <row r="22" spans="1:14" x14ac:dyDescent="0.3">
      <c r="A22" s="16">
        <v>46266</v>
      </c>
      <c r="B22" s="17">
        <v>360</v>
      </c>
      <c r="C22" s="17">
        <v>30</v>
      </c>
      <c r="D22" s="17">
        <v>180</v>
      </c>
      <c r="E22" s="17">
        <v>30</v>
      </c>
      <c r="F22" s="17">
        <v>360</v>
      </c>
      <c r="G22" s="17">
        <v>5</v>
      </c>
      <c r="H22" s="17">
        <v>480</v>
      </c>
      <c r="I22" s="18">
        <f t="shared" si="0"/>
        <v>1440</v>
      </c>
      <c r="J22" s="18">
        <f t="shared" si="1"/>
        <v>0</v>
      </c>
      <c r="K22" s="19" t="s">
        <v>54</v>
      </c>
      <c r="L22" s="19" t="s">
        <v>55</v>
      </c>
      <c r="M22" s="19" t="s">
        <v>56</v>
      </c>
      <c r="N22" s="20" t="s">
        <v>81</v>
      </c>
    </row>
    <row r="23" spans="1:14" ht="28.8" x14ac:dyDescent="0.3">
      <c r="A23" s="16">
        <v>46267</v>
      </c>
      <c r="B23" s="17">
        <v>360</v>
      </c>
      <c r="C23" s="17">
        <v>0</v>
      </c>
      <c r="D23" s="17">
        <v>200</v>
      </c>
      <c r="E23" s="17">
        <v>60</v>
      </c>
      <c r="F23" s="17">
        <v>360</v>
      </c>
      <c r="G23" s="17">
        <v>5</v>
      </c>
      <c r="H23" s="17">
        <v>460</v>
      </c>
      <c r="I23" s="18">
        <f t="shared" si="0"/>
        <v>1440</v>
      </c>
      <c r="J23" s="18">
        <f t="shared" si="1"/>
        <v>0</v>
      </c>
      <c r="K23" s="19" t="s">
        <v>54</v>
      </c>
      <c r="L23" s="19" t="s">
        <v>55</v>
      </c>
      <c r="M23" s="19" t="s">
        <v>61</v>
      </c>
      <c r="N23" s="20" t="s">
        <v>82</v>
      </c>
    </row>
    <row r="24" spans="1:14" x14ac:dyDescent="0.3">
      <c r="A24" s="16">
        <v>46268</v>
      </c>
      <c r="B24" s="17">
        <v>327</v>
      </c>
      <c r="C24" s="17">
        <v>0</v>
      </c>
      <c r="D24" s="17">
        <v>300</v>
      </c>
      <c r="E24" s="17">
        <v>60</v>
      </c>
      <c r="F24" s="17">
        <v>360</v>
      </c>
      <c r="G24" s="17">
        <v>6</v>
      </c>
      <c r="H24" s="17">
        <v>390</v>
      </c>
      <c r="I24" s="18">
        <f t="shared" si="0"/>
        <v>1437</v>
      </c>
      <c r="J24" s="18">
        <f t="shared" si="1"/>
        <v>3</v>
      </c>
      <c r="K24" s="19" t="s">
        <v>58</v>
      </c>
      <c r="L24" s="19" t="s">
        <v>58</v>
      </c>
      <c r="M24" s="19" t="s">
        <v>56</v>
      </c>
      <c r="N24" s="20" t="s">
        <v>83</v>
      </c>
    </row>
    <row r="25" spans="1:14" ht="28.8" x14ac:dyDescent="0.3">
      <c r="A25" s="16">
        <v>46269</v>
      </c>
      <c r="B25" s="17">
        <v>387</v>
      </c>
      <c r="C25" s="17">
        <v>0</v>
      </c>
      <c r="D25" s="17">
        <v>300</v>
      </c>
      <c r="E25" s="17">
        <v>120</v>
      </c>
      <c r="F25" s="17">
        <v>420</v>
      </c>
      <c r="G25" s="17">
        <v>7</v>
      </c>
      <c r="H25" s="17">
        <v>200</v>
      </c>
      <c r="I25" s="18">
        <f t="shared" si="0"/>
        <v>1427</v>
      </c>
      <c r="J25" s="18">
        <f t="shared" si="1"/>
        <v>13</v>
      </c>
      <c r="K25" s="19" t="s">
        <v>54</v>
      </c>
      <c r="L25" s="19" t="s">
        <v>55</v>
      </c>
      <c r="M25" s="19" t="s">
        <v>56</v>
      </c>
      <c r="N25" s="20" t="s">
        <v>84</v>
      </c>
    </row>
    <row r="26" spans="1:14" x14ac:dyDescent="0.3">
      <c r="A26" s="16">
        <v>46270</v>
      </c>
      <c r="B26" s="17">
        <v>300</v>
      </c>
      <c r="C26" s="17">
        <v>20</v>
      </c>
      <c r="D26" s="17">
        <v>360</v>
      </c>
      <c r="E26" s="17">
        <v>60</v>
      </c>
      <c r="F26" s="17">
        <v>240</v>
      </c>
      <c r="G26" s="17">
        <v>4</v>
      </c>
      <c r="H26" s="17">
        <v>460</v>
      </c>
      <c r="I26" s="18">
        <f t="shared" si="0"/>
        <v>1440</v>
      </c>
      <c r="J26" s="18">
        <f t="shared" si="1"/>
        <v>0</v>
      </c>
      <c r="K26" s="19" t="s">
        <v>58</v>
      </c>
      <c r="L26" s="19" t="s">
        <v>55</v>
      </c>
      <c r="M26" s="19" t="s">
        <v>56</v>
      </c>
      <c r="N26" s="20" t="s">
        <v>80</v>
      </c>
    </row>
    <row r="27" spans="1:14" ht="28.8" x14ac:dyDescent="0.3">
      <c r="A27" s="16">
        <v>46271</v>
      </c>
      <c r="B27" s="17">
        <v>320</v>
      </c>
      <c r="C27" s="17">
        <v>50</v>
      </c>
      <c r="D27" s="17">
        <v>360</v>
      </c>
      <c r="E27" s="17">
        <v>120</v>
      </c>
      <c r="F27" s="17">
        <v>300</v>
      </c>
      <c r="G27" s="17">
        <v>5</v>
      </c>
      <c r="H27" s="17">
        <v>290</v>
      </c>
      <c r="I27" s="18">
        <f t="shared" si="0"/>
        <v>1440</v>
      </c>
      <c r="J27" s="18">
        <f t="shared" si="1"/>
        <v>0</v>
      </c>
      <c r="K27" s="19" t="s">
        <v>58</v>
      </c>
      <c r="L27" s="19" t="s">
        <v>66</v>
      </c>
      <c r="M27" s="19" t="s">
        <v>56</v>
      </c>
      <c r="N27" s="20" t="s">
        <v>85</v>
      </c>
    </row>
    <row r="28" spans="1:14" x14ac:dyDescent="0.3">
      <c r="A28" s="16">
        <v>46272</v>
      </c>
      <c r="B28" s="17">
        <v>180</v>
      </c>
      <c r="C28" s="17">
        <v>30</v>
      </c>
      <c r="D28" s="17">
        <v>420</v>
      </c>
      <c r="E28" s="17">
        <v>120</v>
      </c>
      <c r="F28" s="17">
        <v>360</v>
      </c>
      <c r="G28" s="17">
        <v>6</v>
      </c>
      <c r="H28" s="17">
        <v>330</v>
      </c>
      <c r="I28" s="18">
        <f t="shared" si="0"/>
        <v>1440</v>
      </c>
      <c r="J28" s="18">
        <f t="shared" si="1"/>
        <v>0</v>
      </c>
      <c r="K28" s="19" t="s">
        <v>58</v>
      </c>
      <c r="L28" s="19" t="s">
        <v>55</v>
      </c>
      <c r="M28" s="19" t="s">
        <v>56</v>
      </c>
      <c r="N28" s="20" t="s">
        <v>86</v>
      </c>
    </row>
    <row r="29" spans="1:14" x14ac:dyDescent="0.3">
      <c r="A29" s="16">
        <v>46273</v>
      </c>
      <c r="B29" s="17">
        <v>240</v>
      </c>
      <c r="C29" s="17">
        <v>60</v>
      </c>
      <c r="D29" s="17">
        <v>360</v>
      </c>
      <c r="E29" s="17">
        <v>125</v>
      </c>
      <c r="F29" s="17">
        <v>360</v>
      </c>
      <c r="G29" s="17">
        <v>6</v>
      </c>
      <c r="H29" s="17">
        <v>295</v>
      </c>
      <c r="I29" s="18">
        <f t="shared" si="0"/>
        <v>1440</v>
      </c>
      <c r="J29" s="18">
        <f t="shared" si="1"/>
        <v>0</v>
      </c>
      <c r="K29" s="19" t="s">
        <v>58</v>
      </c>
      <c r="L29" s="19" t="s">
        <v>58</v>
      </c>
      <c r="M29" s="19" t="s">
        <v>56</v>
      </c>
      <c r="N29" s="20" t="s">
        <v>83</v>
      </c>
    </row>
    <row r="30" spans="1:14" ht="28.8" x14ac:dyDescent="0.3">
      <c r="A30" s="16">
        <v>46274</v>
      </c>
      <c r="B30" s="17">
        <v>180</v>
      </c>
      <c r="C30" s="17">
        <v>30</v>
      </c>
      <c r="D30" s="17">
        <v>480</v>
      </c>
      <c r="E30" s="17">
        <v>150</v>
      </c>
      <c r="F30" s="17">
        <v>360</v>
      </c>
      <c r="G30" s="17">
        <v>6</v>
      </c>
      <c r="H30" s="17">
        <v>240</v>
      </c>
      <c r="I30" s="18">
        <f t="shared" si="0"/>
        <v>1440</v>
      </c>
      <c r="J30" s="18">
        <f t="shared" si="1"/>
        <v>0</v>
      </c>
      <c r="K30" s="19" t="s">
        <v>58</v>
      </c>
      <c r="L30" s="19" t="s">
        <v>55</v>
      </c>
      <c r="M30" s="19" t="s">
        <v>56</v>
      </c>
      <c r="N30" s="20" t="s">
        <v>87</v>
      </c>
    </row>
    <row r="31" spans="1:14" x14ac:dyDescent="0.3">
      <c r="A31" s="16">
        <v>46275</v>
      </c>
      <c r="B31" s="17">
        <v>240</v>
      </c>
      <c r="C31" s="17">
        <v>0</v>
      </c>
      <c r="D31" s="17">
        <v>420</v>
      </c>
      <c r="E31" s="17">
        <v>120</v>
      </c>
      <c r="F31" s="17">
        <v>360</v>
      </c>
      <c r="G31" s="17">
        <v>6</v>
      </c>
      <c r="H31" s="17">
        <v>300</v>
      </c>
      <c r="I31" s="18">
        <f t="shared" si="0"/>
        <v>1440</v>
      </c>
      <c r="J31" s="18">
        <f t="shared" si="1"/>
        <v>0</v>
      </c>
      <c r="K31" s="19" t="s">
        <v>58</v>
      </c>
      <c r="L31" s="19" t="s">
        <v>55</v>
      </c>
      <c r="M31" s="19" t="s">
        <v>61</v>
      </c>
      <c r="N31" s="20" t="s">
        <v>88</v>
      </c>
    </row>
    <row r="32" spans="1:14" x14ac:dyDescent="0.3">
      <c r="A32" s="16">
        <v>46276</v>
      </c>
      <c r="B32" s="17">
        <v>300</v>
      </c>
      <c r="C32" s="17">
        <v>0</v>
      </c>
      <c r="D32" s="17">
        <v>120</v>
      </c>
      <c r="E32" s="17">
        <v>0</v>
      </c>
      <c r="F32" s="17">
        <v>420</v>
      </c>
      <c r="G32" s="17">
        <v>7</v>
      </c>
      <c r="H32" s="17">
        <v>600</v>
      </c>
      <c r="I32" s="18">
        <f t="shared" si="0"/>
        <v>1440</v>
      </c>
      <c r="J32" s="18">
        <f t="shared" si="1"/>
        <v>0</v>
      </c>
      <c r="K32" s="19" t="s">
        <v>58</v>
      </c>
      <c r="L32" s="19" t="s">
        <v>58</v>
      </c>
      <c r="M32" s="19" t="s">
        <v>56</v>
      </c>
      <c r="N32" s="20" t="s">
        <v>89</v>
      </c>
    </row>
    <row r="33" spans="1:14" x14ac:dyDescent="0.3">
      <c r="A33" s="16">
        <v>46277</v>
      </c>
      <c r="B33" s="17">
        <v>480</v>
      </c>
      <c r="C33" s="17">
        <v>0</v>
      </c>
      <c r="D33" s="17">
        <v>500</v>
      </c>
      <c r="E33" s="17">
        <v>60</v>
      </c>
      <c r="F33" s="17">
        <v>0</v>
      </c>
      <c r="G33" s="17">
        <v>0</v>
      </c>
      <c r="H33" s="17">
        <v>400</v>
      </c>
      <c r="I33" s="18">
        <f t="shared" si="0"/>
        <v>1440</v>
      </c>
      <c r="J33" s="18">
        <f t="shared" si="1"/>
        <v>0</v>
      </c>
      <c r="K33" s="19" t="s">
        <v>58</v>
      </c>
      <c r="L33" s="19" t="s">
        <v>55</v>
      </c>
      <c r="M33" s="19" t="s">
        <v>56</v>
      </c>
      <c r="N33" s="20" t="s">
        <v>90</v>
      </c>
    </row>
    <row r="34" spans="1:14" ht="28.8" x14ac:dyDescent="0.3">
      <c r="A34" s="16">
        <v>46278</v>
      </c>
      <c r="B34" s="17">
        <v>480</v>
      </c>
      <c r="C34" s="17">
        <v>30</v>
      </c>
      <c r="D34" s="17">
        <v>300</v>
      </c>
      <c r="E34" s="17">
        <v>30</v>
      </c>
      <c r="F34" s="17">
        <v>0</v>
      </c>
      <c r="G34" s="17">
        <v>0</v>
      </c>
      <c r="H34" s="17">
        <v>500</v>
      </c>
      <c r="I34" s="18">
        <f t="shared" si="0"/>
        <v>1340</v>
      </c>
      <c r="J34" s="18">
        <f t="shared" si="1"/>
        <v>100</v>
      </c>
      <c r="K34" s="19" t="s">
        <v>58</v>
      </c>
      <c r="L34" s="19" t="s">
        <v>58</v>
      </c>
      <c r="M34" s="19" t="s">
        <v>56</v>
      </c>
      <c r="N34" s="20" t="s">
        <v>91</v>
      </c>
    </row>
    <row r="35" spans="1:14" x14ac:dyDescent="0.3">
      <c r="A35" s="12">
        <v>46279</v>
      </c>
      <c r="B35" s="13">
        <v>300</v>
      </c>
      <c r="C35" s="13">
        <v>60</v>
      </c>
      <c r="D35" s="13">
        <v>60</v>
      </c>
      <c r="E35" s="13">
        <v>120</v>
      </c>
      <c r="F35" s="13">
        <v>240</v>
      </c>
      <c r="G35" s="13">
        <v>240</v>
      </c>
      <c r="H35" s="13"/>
      <c r="I35" s="14">
        <f>IF(SUM(B35:F35,H35)=0,"",SUM(B35:F35,H35))</f>
        <v>780</v>
      </c>
      <c r="J35" s="14">
        <f>IF(I35="","",1440-I35)</f>
        <v>660</v>
      </c>
      <c r="K35" s="13" t="s">
        <v>60</v>
      </c>
      <c r="L35" s="13" t="s">
        <v>58</v>
      </c>
      <c r="M35" s="13" t="s">
        <v>61</v>
      </c>
      <c r="N35" s="15" t="s">
        <v>62</v>
      </c>
    </row>
    <row r="36" spans="1:14" ht="43.2" x14ac:dyDescent="0.3">
      <c r="A36" s="16">
        <v>46280</v>
      </c>
      <c r="B36" s="17">
        <v>300</v>
      </c>
      <c r="C36" s="17">
        <v>50</v>
      </c>
      <c r="D36" s="17">
        <v>120</v>
      </c>
      <c r="E36" s="17">
        <v>60</v>
      </c>
      <c r="F36" s="17">
        <v>300</v>
      </c>
      <c r="G36" s="17">
        <v>5</v>
      </c>
      <c r="H36" s="17">
        <v>510</v>
      </c>
      <c r="I36" s="18">
        <f>IF(SUM(B36:F36,H36)=0,"",SUM(B36:F36,H36))</f>
        <v>1340</v>
      </c>
      <c r="J36" s="18">
        <f t="shared" ref="J36" si="2">IF(I36="","",1440-I36)</f>
        <v>100</v>
      </c>
      <c r="K36" s="19" t="s">
        <v>54</v>
      </c>
      <c r="L36" s="19" t="s">
        <v>55</v>
      </c>
      <c r="M36" s="19" t="s">
        <v>61</v>
      </c>
      <c r="N36" s="20" t="s">
        <v>92</v>
      </c>
    </row>
    <row r="37" spans="1:14" ht="57.6" x14ac:dyDescent="0.3">
      <c r="A37" s="12">
        <v>46281</v>
      </c>
      <c r="B37" s="13">
        <v>360</v>
      </c>
      <c r="C37" s="13">
        <v>0</v>
      </c>
      <c r="D37" s="13">
        <v>180</v>
      </c>
      <c r="E37" s="13">
        <v>60</v>
      </c>
      <c r="F37" s="13">
        <f>60*3</f>
        <v>180</v>
      </c>
      <c r="G37" s="13">
        <v>3</v>
      </c>
      <c r="H37" s="13">
        <v>500</v>
      </c>
      <c r="I37" s="14">
        <f t="shared" si="0"/>
        <v>1280</v>
      </c>
      <c r="J37" s="14">
        <f t="shared" si="1"/>
        <v>160</v>
      </c>
      <c r="K37" s="13" t="s">
        <v>58</v>
      </c>
      <c r="L37" s="13" t="s">
        <v>55</v>
      </c>
      <c r="M37" s="13" t="s">
        <v>56</v>
      </c>
      <c r="N37" s="15" t="s">
        <v>93</v>
      </c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3"/>
      <c r="L38" s="13"/>
      <c r="M38" s="13"/>
      <c r="N38" s="15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3"/>
      <c r="L39" s="13"/>
      <c r="M39" s="13"/>
      <c r="N39" s="15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3"/>
      <c r="L40" s="13"/>
      <c r="M40" s="13"/>
      <c r="N40" s="15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3"/>
      <c r="L41" s="13"/>
      <c r="M41" s="13"/>
      <c r="N41" s="15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3"/>
      <c r="L42" s="13"/>
      <c r="M42" s="13"/>
      <c r="N42" s="15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3"/>
      <c r="L43" s="13"/>
      <c r="M43" s="13"/>
      <c r="N43" s="15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3"/>
      <c r="L44" s="13"/>
      <c r="M44" s="13"/>
      <c r="N44" s="15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3"/>
      <c r="L45" s="13"/>
      <c r="M45" s="13"/>
      <c r="N45" s="15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3"/>
      <c r="L46" s="13"/>
      <c r="M46" s="13"/>
      <c r="N46" s="15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3"/>
      <c r="L47" s="13"/>
      <c r="M47" s="13"/>
      <c r="N47" s="15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3"/>
      <c r="L48" s="13"/>
      <c r="M48" s="13"/>
      <c r="N48" s="15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3"/>
      <c r="L49" s="13"/>
      <c r="M49" s="13"/>
      <c r="N49" s="15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3"/>
      <c r="L50" s="13"/>
      <c r="M50" s="13"/>
      <c r="N50" s="15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3"/>
      <c r="L51" s="13"/>
      <c r="M51" s="13"/>
      <c r="N51" s="15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3"/>
      <c r="L52" s="13"/>
      <c r="M52" s="13"/>
      <c r="N52" s="15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3"/>
      <c r="L53" s="13"/>
      <c r="M53" s="13"/>
      <c r="N53" s="15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3"/>
      <c r="L54" s="13"/>
      <c r="M54" s="13"/>
      <c r="N54" s="15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3"/>
      <c r="L55" s="13"/>
      <c r="M55" s="13"/>
      <c r="N55" s="15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3"/>
      <c r="L56" s="13"/>
      <c r="M56" s="13"/>
      <c r="N56" s="15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3"/>
      <c r="L57" s="13"/>
      <c r="M57" s="13"/>
      <c r="N57" s="15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3"/>
      <c r="L58" s="13"/>
      <c r="M58" s="13"/>
      <c r="N58" s="15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3"/>
      <c r="L59" s="13"/>
      <c r="M59" s="13"/>
      <c r="N59" s="15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3"/>
      <c r="L60" s="13"/>
      <c r="M60" s="13"/>
      <c r="N60" s="15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3"/>
      <c r="L61" s="13"/>
      <c r="M61" s="13"/>
      <c r="N61" s="15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3"/>
      <c r="L62" s="13"/>
      <c r="M62" s="13"/>
      <c r="N62" s="15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3"/>
      <c r="L63" s="13"/>
      <c r="M63" s="13"/>
      <c r="N63" s="15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3"/>
      <c r="L64" s="13"/>
      <c r="M64" s="13"/>
      <c r="N64" s="15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3"/>
      <c r="L65" s="13"/>
      <c r="M65" s="13"/>
      <c r="N65" s="15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3"/>
      <c r="L66" s="13"/>
      <c r="M66" s="13"/>
      <c r="N66" s="15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3"/>
      <c r="L67" s="13"/>
      <c r="M67" s="13"/>
      <c r="N67" s="15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3"/>
      <c r="L68" s="13"/>
      <c r="M68" s="13"/>
      <c r="N68" s="15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3"/>
      <c r="L69" s="13"/>
      <c r="M69" s="13"/>
      <c r="N69" s="15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3"/>
      <c r="L70" s="13"/>
      <c r="M70" s="13"/>
      <c r="N70" s="15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0"/>
        <v/>
      </c>
      <c r="J71" s="14" t="str">
        <f t="shared" si="1"/>
        <v/>
      </c>
      <c r="K71" s="13"/>
      <c r="L71" s="13"/>
      <c r="M71" s="13"/>
      <c r="N71" s="15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0"/>
        <v/>
      </c>
      <c r="J72" s="14" t="str">
        <f t="shared" si="1"/>
        <v/>
      </c>
      <c r="K72" s="13"/>
      <c r="L72" s="13"/>
      <c r="M72" s="13"/>
      <c r="N72" s="15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0"/>
        <v/>
      </c>
      <c r="J73" s="14" t="str">
        <f t="shared" si="1"/>
        <v/>
      </c>
      <c r="K73" s="13"/>
      <c r="L73" s="13"/>
      <c r="M73" s="13"/>
      <c r="N73" s="15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0"/>
        <v/>
      </c>
      <c r="J74" s="14" t="str">
        <f t="shared" si="1"/>
        <v/>
      </c>
      <c r="K74" s="13"/>
      <c r="L74" s="13"/>
      <c r="M74" s="13"/>
      <c r="N74" s="15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0"/>
        <v/>
      </c>
      <c r="J75" s="14" t="str">
        <f t="shared" si="1"/>
        <v/>
      </c>
      <c r="K75" s="13"/>
      <c r="L75" s="13"/>
      <c r="M75" s="13"/>
      <c r="N75" s="15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0"/>
        <v/>
      </c>
      <c r="J76" s="14" t="str">
        <f t="shared" si="1"/>
        <v/>
      </c>
      <c r="K76" s="13"/>
      <c r="L76" s="13"/>
      <c r="M76" s="13"/>
      <c r="N76" s="15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0"/>
        <v/>
      </c>
      <c r="J77" s="14" t="str">
        <f t="shared" si="1"/>
        <v/>
      </c>
      <c r="K77" s="13"/>
      <c r="L77" s="13"/>
      <c r="M77" s="13"/>
      <c r="N77" s="15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0"/>
        <v/>
      </c>
      <c r="J78" s="14" t="str">
        <f t="shared" si="1"/>
        <v/>
      </c>
      <c r="K78" s="13"/>
      <c r="L78" s="13"/>
      <c r="M78" s="13"/>
      <c r="N78" s="15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0"/>
        <v/>
      </c>
      <c r="J79" s="14" t="str">
        <f t="shared" si="1"/>
        <v/>
      </c>
      <c r="K79" s="13"/>
      <c r="L79" s="13"/>
      <c r="M79" s="13"/>
      <c r="N79" s="15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0"/>
        <v/>
      </c>
      <c r="J80" s="14" t="str">
        <f t="shared" si="1"/>
        <v/>
      </c>
      <c r="K80" s="13"/>
      <c r="L80" s="13"/>
      <c r="M80" s="13"/>
      <c r="N80" s="15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0"/>
        <v/>
      </c>
      <c r="J81" s="14" t="str">
        <f t="shared" si="1"/>
        <v/>
      </c>
      <c r="K81" s="13"/>
      <c r="L81" s="13"/>
      <c r="M81" s="13"/>
      <c r="N81" s="15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0"/>
        <v/>
      </c>
      <c r="J82" s="14" t="str">
        <f t="shared" si="1"/>
        <v/>
      </c>
      <c r="K82" s="13"/>
      <c r="L82" s="13"/>
      <c r="M82" s="13"/>
      <c r="N82" s="15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ref="I83:I146" si="3">IF(SUM(B83:F83,H83)=0,"",SUM(B83:F83,H83))</f>
        <v/>
      </c>
      <c r="J83" s="14" t="str">
        <f t="shared" ref="J83:J146" si="4">IF(I83="","",1440-I83)</f>
        <v/>
      </c>
      <c r="K83" s="13"/>
      <c r="L83" s="13"/>
      <c r="M83" s="13"/>
      <c r="N83" s="15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3"/>
        <v/>
      </c>
      <c r="J84" s="14" t="str">
        <f t="shared" si="4"/>
        <v/>
      </c>
      <c r="K84" s="13"/>
      <c r="L84" s="13"/>
      <c r="M84" s="13"/>
      <c r="N84" s="15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3"/>
        <v/>
      </c>
      <c r="J85" s="14" t="str">
        <f t="shared" si="4"/>
        <v/>
      </c>
      <c r="K85" s="13"/>
      <c r="L85" s="13"/>
      <c r="M85" s="13"/>
      <c r="N85" s="15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3"/>
        <v/>
      </c>
      <c r="J86" s="14" t="str">
        <f t="shared" si="4"/>
        <v/>
      </c>
      <c r="K86" s="13"/>
      <c r="L86" s="13"/>
      <c r="M86" s="13"/>
      <c r="N86" s="15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3"/>
        <v/>
      </c>
      <c r="J87" s="14" t="str">
        <f t="shared" si="4"/>
        <v/>
      </c>
      <c r="K87" s="13"/>
      <c r="L87" s="13"/>
      <c r="M87" s="13"/>
      <c r="N87" s="15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3"/>
        <v/>
      </c>
      <c r="J88" s="14" t="str">
        <f t="shared" si="4"/>
        <v/>
      </c>
      <c r="K88" s="13"/>
      <c r="L88" s="13"/>
      <c r="M88" s="13"/>
      <c r="N88" s="15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3"/>
        <v/>
      </c>
      <c r="J89" s="14" t="str">
        <f t="shared" si="4"/>
        <v/>
      </c>
      <c r="K89" s="13"/>
      <c r="L89" s="13"/>
      <c r="M89" s="13"/>
      <c r="N89" s="15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3"/>
        <v/>
      </c>
      <c r="J90" s="14" t="str">
        <f t="shared" si="4"/>
        <v/>
      </c>
      <c r="K90" s="13"/>
      <c r="L90" s="13"/>
      <c r="M90" s="13"/>
      <c r="N90" s="15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3"/>
        <v/>
      </c>
      <c r="J91" s="14" t="str">
        <f t="shared" si="4"/>
        <v/>
      </c>
      <c r="K91" s="13"/>
      <c r="L91" s="13"/>
      <c r="M91" s="13"/>
      <c r="N91" s="15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3"/>
        <v/>
      </c>
      <c r="J92" s="14" t="str">
        <f t="shared" si="4"/>
        <v/>
      </c>
      <c r="K92" s="13"/>
      <c r="L92" s="13"/>
      <c r="M92" s="13"/>
      <c r="N92" s="15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3"/>
        <v/>
      </c>
      <c r="J93" s="14" t="str">
        <f t="shared" si="4"/>
        <v/>
      </c>
      <c r="K93" s="13"/>
      <c r="L93" s="13"/>
      <c r="M93" s="13"/>
      <c r="N93" s="15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3"/>
        <v/>
      </c>
      <c r="J94" s="14" t="str">
        <f t="shared" si="4"/>
        <v/>
      </c>
      <c r="K94" s="13"/>
      <c r="L94" s="13"/>
      <c r="M94" s="13"/>
      <c r="N94" s="15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3"/>
        <v/>
      </c>
      <c r="J95" s="14" t="str">
        <f t="shared" si="4"/>
        <v/>
      </c>
      <c r="K95" s="13"/>
      <c r="L95" s="13"/>
      <c r="M95" s="13"/>
      <c r="N95" s="15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3"/>
        <v/>
      </c>
      <c r="J96" s="14" t="str">
        <f t="shared" si="4"/>
        <v/>
      </c>
      <c r="K96" s="13"/>
      <c r="L96" s="13"/>
      <c r="M96" s="13"/>
      <c r="N96" s="15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3"/>
        <v/>
      </c>
      <c r="J97" s="14" t="str">
        <f t="shared" si="4"/>
        <v/>
      </c>
      <c r="K97" s="13"/>
      <c r="L97" s="13"/>
      <c r="M97" s="13"/>
      <c r="N97" s="15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3"/>
        <v/>
      </c>
      <c r="J98" s="14" t="str">
        <f t="shared" si="4"/>
        <v/>
      </c>
      <c r="K98" s="13"/>
      <c r="L98" s="13"/>
      <c r="M98" s="13"/>
      <c r="N98" s="15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3"/>
        <v/>
      </c>
      <c r="J99" s="14" t="str">
        <f t="shared" si="4"/>
        <v/>
      </c>
      <c r="K99" s="13"/>
      <c r="L99" s="13"/>
      <c r="M99" s="13"/>
      <c r="N99" s="15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3"/>
        <v/>
      </c>
      <c r="J100" s="14" t="str">
        <f t="shared" si="4"/>
        <v/>
      </c>
      <c r="K100" s="13"/>
      <c r="L100" s="13"/>
      <c r="M100" s="13"/>
      <c r="N100" s="15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3"/>
        <v/>
      </c>
      <c r="J101" s="14" t="str">
        <f t="shared" si="4"/>
        <v/>
      </c>
      <c r="K101" s="13"/>
      <c r="L101" s="13"/>
      <c r="M101" s="13"/>
      <c r="N101" s="15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3"/>
        <v/>
      </c>
      <c r="J102" s="14" t="str">
        <f t="shared" si="4"/>
        <v/>
      </c>
      <c r="K102" s="13"/>
      <c r="L102" s="13"/>
      <c r="M102" s="13"/>
      <c r="N102" s="15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3"/>
        <v/>
      </c>
      <c r="J103" s="14" t="str">
        <f t="shared" si="4"/>
        <v/>
      </c>
      <c r="K103" s="13"/>
      <c r="L103" s="13"/>
      <c r="M103" s="13"/>
      <c r="N103" s="15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3"/>
        <v/>
      </c>
      <c r="J104" s="14" t="str">
        <f t="shared" si="4"/>
        <v/>
      </c>
      <c r="K104" s="13"/>
      <c r="L104" s="13"/>
      <c r="M104" s="13"/>
      <c r="N104" s="15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3"/>
        <v/>
      </c>
      <c r="J105" s="14" t="str">
        <f t="shared" si="4"/>
        <v/>
      </c>
      <c r="K105" s="13"/>
      <c r="L105" s="13"/>
      <c r="M105" s="13"/>
      <c r="N105" s="15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3"/>
        <v/>
      </c>
      <c r="J106" s="14" t="str">
        <f t="shared" si="4"/>
        <v/>
      </c>
      <c r="K106" s="13"/>
      <c r="L106" s="13"/>
      <c r="M106" s="13"/>
      <c r="N106" s="15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3"/>
        <v/>
      </c>
      <c r="J107" s="14" t="str">
        <f t="shared" si="4"/>
        <v/>
      </c>
      <c r="K107" s="13"/>
      <c r="L107" s="13"/>
      <c r="M107" s="13"/>
      <c r="N107" s="15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3"/>
        <v/>
      </c>
      <c r="J108" s="14" t="str">
        <f t="shared" si="4"/>
        <v/>
      </c>
      <c r="K108" s="13"/>
      <c r="L108" s="13"/>
      <c r="M108" s="13"/>
      <c r="N108" s="15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3"/>
        <v/>
      </c>
      <c r="J109" s="14" t="str">
        <f t="shared" si="4"/>
        <v/>
      </c>
      <c r="K109" s="13"/>
      <c r="L109" s="13"/>
      <c r="M109" s="13"/>
      <c r="N109" s="15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3"/>
        <v/>
      </c>
      <c r="J110" s="14" t="str">
        <f t="shared" si="4"/>
        <v/>
      </c>
      <c r="K110" s="13"/>
      <c r="L110" s="13"/>
      <c r="M110" s="13"/>
      <c r="N110" s="15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3"/>
        <v/>
      </c>
      <c r="J111" s="14" t="str">
        <f t="shared" si="4"/>
        <v/>
      </c>
      <c r="K111" s="13"/>
      <c r="L111" s="13"/>
      <c r="M111" s="13"/>
      <c r="N111" s="15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3"/>
        <v/>
      </c>
      <c r="J112" s="14" t="str">
        <f t="shared" si="4"/>
        <v/>
      </c>
      <c r="K112" s="13"/>
      <c r="L112" s="13"/>
      <c r="M112" s="13"/>
      <c r="N112" s="15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3"/>
        <v/>
      </c>
      <c r="J113" s="14" t="str">
        <f t="shared" si="4"/>
        <v/>
      </c>
      <c r="K113" s="13"/>
      <c r="L113" s="13"/>
      <c r="M113" s="13"/>
      <c r="N113" s="15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3"/>
        <v/>
      </c>
      <c r="J114" s="14" t="str">
        <f t="shared" si="4"/>
        <v/>
      </c>
      <c r="K114" s="13"/>
      <c r="L114" s="13"/>
      <c r="M114" s="13"/>
      <c r="N114" s="15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3"/>
        <v/>
      </c>
      <c r="J115" s="14" t="str">
        <f t="shared" si="4"/>
        <v/>
      </c>
      <c r="K115" s="13"/>
      <c r="L115" s="13"/>
      <c r="M115" s="13"/>
      <c r="N115" s="15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3"/>
        <v/>
      </c>
      <c r="J116" s="14" t="str">
        <f t="shared" si="4"/>
        <v/>
      </c>
      <c r="K116" s="13"/>
      <c r="L116" s="13"/>
      <c r="M116" s="13"/>
      <c r="N116" s="15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3"/>
        <v/>
      </c>
      <c r="J117" s="14" t="str">
        <f t="shared" si="4"/>
        <v/>
      </c>
      <c r="K117" s="13"/>
      <c r="L117" s="13"/>
      <c r="M117" s="13"/>
      <c r="N117" s="15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3"/>
        <v/>
      </c>
      <c r="J118" s="14" t="str">
        <f t="shared" si="4"/>
        <v/>
      </c>
      <c r="K118" s="13"/>
      <c r="L118" s="13"/>
      <c r="M118" s="13"/>
      <c r="N118" s="15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3"/>
        <v/>
      </c>
      <c r="J119" s="14" t="str">
        <f t="shared" si="4"/>
        <v/>
      </c>
      <c r="K119" s="13"/>
      <c r="L119" s="13"/>
      <c r="M119" s="13"/>
      <c r="N119" s="15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3"/>
        <v/>
      </c>
      <c r="J120" s="14" t="str">
        <f t="shared" si="4"/>
        <v/>
      </c>
      <c r="K120" s="13"/>
      <c r="L120" s="13"/>
      <c r="M120" s="13"/>
      <c r="N120" s="15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3"/>
        <v/>
      </c>
      <c r="J121" s="14" t="str">
        <f t="shared" si="4"/>
        <v/>
      </c>
      <c r="K121" s="13"/>
      <c r="L121" s="13"/>
      <c r="M121" s="13"/>
      <c r="N121" s="15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3"/>
        <v/>
      </c>
      <c r="J122" s="14" t="str">
        <f t="shared" si="4"/>
        <v/>
      </c>
      <c r="K122" s="13"/>
      <c r="L122" s="13"/>
      <c r="M122" s="13"/>
      <c r="N122" s="15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3"/>
        <v/>
      </c>
      <c r="J123" s="14" t="str">
        <f t="shared" si="4"/>
        <v/>
      </c>
      <c r="K123" s="13"/>
      <c r="L123" s="13"/>
      <c r="M123" s="13"/>
      <c r="N123" s="15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3"/>
        <v/>
      </c>
      <c r="J124" s="14" t="str">
        <f t="shared" si="4"/>
        <v/>
      </c>
      <c r="K124" s="13"/>
      <c r="L124" s="13"/>
      <c r="M124" s="13"/>
      <c r="N124" s="15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3"/>
        <v/>
      </c>
      <c r="J125" s="14" t="str">
        <f t="shared" si="4"/>
        <v/>
      </c>
      <c r="K125" s="13"/>
      <c r="L125" s="13"/>
      <c r="M125" s="13"/>
      <c r="N125" s="15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3"/>
        <v/>
      </c>
      <c r="J126" s="14" t="str">
        <f t="shared" si="4"/>
        <v/>
      </c>
      <c r="K126" s="13"/>
      <c r="L126" s="13"/>
      <c r="M126" s="13"/>
      <c r="N126" s="15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3"/>
        <v/>
      </c>
      <c r="J127" s="14" t="str">
        <f t="shared" si="4"/>
        <v/>
      </c>
      <c r="K127" s="13"/>
      <c r="L127" s="13"/>
      <c r="M127" s="13"/>
      <c r="N127" s="15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3"/>
        <v/>
      </c>
      <c r="J128" s="14" t="str">
        <f t="shared" si="4"/>
        <v/>
      </c>
      <c r="K128" s="13"/>
      <c r="L128" s="13"/>
      <c r="M128" s="13"/>
      <c r="N128" s="15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3"/>
        <v/>
      </c>
      <c r="J129" s="14" t="str">
        <f t="shared" si="4"/>
        <v/>
      </c>
      <c r="K129" s="13"/>
      <c r="L129" s="13"/>
      <c r="M129" s="13"/>
      <c r="N129" s="15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3"/>
        <v/>
      </c>
      <c r="J130" s="14" t="str">
        <f t="shared" si="4"/>
        <v/>
      </c>
      <c r="K130" s="13"/>
      <c r="L130" s="13"/>
      <c r="M130" s="13"/>
      <c r="N130" s="15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3"/>
        <v/>
      </c>
      <c r="J131" s="14" t="str">
        <f t="shared" si="4"/>
        <v/>
      </c>
      <c r="K131" s="13"/>
      <c r="L131" s="13"/>
      <c r="M131" s="13"/>
      <c r="N131" s="15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3"/>
        <v/>
      </c>
      <c r="J132" s="14" t="str">
        <f t="shared" si="4"/>
        <v/>
      </c>
      <c r="K132" s="13"/>
      <c r="L132" s="13"/>
      <c r="M132" s="13"/>
      <c r="N132" s="15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3"/>
        <v/>
      </c>
      <c r="J133" s="14" t="str">
        <f t="shared" si="4"/>
        <v/>
      </c>
      <c r="K133" s="13"/>
      <c r="L133" s="13"/>
      <c r="M133" s="13"/>
      <c r="N133" s="15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3"/>
        <v/>
      </c>
      <c r="J134" s="14" t="str">
        <f t="shared" si="4"/>
        <v/>
      </c>
      <c r="K134" s="13"/>
      <c r="L134" s="13"/>
      <c r="M134" s="13"/>
      <c r="N134" s="15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3"/>
        <v/>
      </c>
      <c r="J135" s="14" t="str">
        <f t="shared" si="4"/>
        <v/>
      </c>
      <c r="K135" s="13"/>
      <c r="L135" s="13"/>
      <c r="M135" s="13"/>
      <c r="N135" s="15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3"/>
        <v/>
      </c>
      <c r="J136" s="14" t="str">
        <f t="shared" si="4"/>
        <v/>
      </c>
      <c r="K136" s="13"/>
      <c r="L136" s="13"/>
      <c r="M136" s="13"/>
      <c r="N136" s="15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3"/>
        <v/>
      </c>
      <c r="J137" s="14" t="str">
        <f t="shared" si="4"/>
        <v/>
      </c>
      <c r="K137" s="13"/>
      <c r="L137" s="13"/>
      <c r="M137" s="13"/>
      <c r="N137" s="15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3"/>
        <v/>
      </c>
      <c r="J138" s="14" t="str">
        <f t="shared" si="4"/>
        <v/>
      </c>
      <c r="K138" s="13"/>
      <c r="L138" s="13"/>
      <c r="M138" s="13"/>
      <c r="N138" s="15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3"/>
        <v/>
      </c>
      <c r="J139" s="14" t="str">
        <f t="shared" si="4"/>
        <v/>
      </c>
      <c r="K139" s="13"/>
      <c r="L139" s="13"/>
      <c r="M139" s="13"/>
      <c r="N139" s="15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3"/>
        <v/>
      </c>
      <c r="J140" s="14" t="str">
        <f t="shared" si="4"/>
        <v/>
      </c>
      <c r="K140" s="13"/>
      <c r="L140" s="13"/>
      <c r="M140" s="13"/>
      <c r="N140" s="15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3"/>
        <v/>
      </c>
      <c r="J141" s="14" t="str">
        <f t="shared" si="4"/>
        <v/>
      </c>
      <c r="K141" s="13"/>
      <c r="L141" s="13"/>
      <c r="M141" s="13"/>
      <c r="N141" s="15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3"/>
        <v/>
      </c>
      <c r="J142" s="14" t="str">
        <f t="shared" si="4"/>
        <v/>
      </c>
      <c r="K142" s="13"/>
      <c r="L142" s="13"/>
      <c r="M142" s="13"/>
      <c r="N142" s="15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3"/>
        <v/>
      </c>
      <c r="J143" s="14" t="str">
        <f t="shared" si="4"/>
        <v/>
      </c>
      <c r="K143" s="13"/>
      <c r="L143" s="13"/>
      <c r="M143" s="13"/>
      <c r="N143" s="15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3"/>
        <v/>
      </c>
      <c r="J144" s="14" t="str">
        <f t="shared" si="4"/>
        <v/>
      </c>
      <c r="K144" s="13"/>
      <c r="L144" s="13"/>
      <c r="M144" s="13"/>
      <c r="N144" s="15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3"/>
        <v/>
      </c>
      <c r="J145" s="14" t="str">
        <f t="shared" si="4"/>
        <v/>
      </c>
      <c r="K145" s="13"/>
      <c r="L145" s="13"/>
      <c r="M145" s="13"/>
      <c r="N145" s="15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3"/>
        <v/>
      </c>
      <c r="J146" s="14" t="str">
        <f t="shared" si="4"/>
        <v/>
      </c>
      <c r="K146" s="13"/>
      <c r="L146" s="13"/>
      <c r="M146" s="13"/>
      <c r="N146" s="15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ref="I147:I210" si="5">IF(SUM(B147:F147,H147)=0,"",SUM(B147:F147,H147))</f>
        <v/>
      </c>
      <c r="J147" s="14" t="str">
        <f t="shared" ref="J147:J210" si="6">IF(I147="","",1440-I147)</f>
        <v/>
      </c>
      <c r="K147" s="13"/>
      <c r="L147" s="13"/>
      <c r="M147" s="13"/>
      <c r="N147" s="15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5"/>
        <v/>
      </c>
      <c r="J148" s="14" t="str">
        <f t="shared" si="6"/>
        <v/>
      </c>
      <c r="K148" s="13"/>
      <c r="L148" s="13"/>
      <c r="M148" s="13"/>
      <c r="N148" s="15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5"/>
        <v/>
      </c>
      <c r="J149" s="14" t="str">
        <f t="shared" si="6"/>
        <v/>
      </c>
      <c r="K149" s="13"/>
      <c r="L149" s="13"/>
      <c r="M149" s="13"/>
      <c r="N149" s="15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5"/>
        <v/>
      </c>
      <c r="J150" s="14" t="str">
        <f t="shared" si="6"/>
        <v/>
      </c>
      <c r="K150" s="13"/>
      <c r="L150" s="13"/>
      <c r="M150" s="13"/>
      <c r="N150" s="15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5"/>
        <v/>
      </c>
      <c r="J151" s="14" t="str">
        <f t="shared" si="6"/>
        <v/>
      </c>
      <c r="K151" s="13"/>
      <c r="L151" s="13"/>
      <c r="M151" s="13"/>
      <c r="N151" s="15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5"/>
        <v/>
      </c>
      <c r="J152" s="14" t="str">
        <f t="shared" si="6"/>
        <v/>
      </c>
      <c r="K152" s="13"/>
      <c r="L152" s="13"/>
      <c r="M152" s="13"/>
      <c r="N152" s="15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5"/>
        <v/>
      </c>
      <c r="J153" s="14" t="str">
        <f t="shared" si="6"/>
        <v/>
      </c>
      <c r="K153" s="13"/>
      <c r="L153" s="13"/>
      <c r="M153" s="13"/>
      <c r="N153" s="15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5"/>
        <v/>
      </c>
      <c r="J154" s="14" t="str">
        <f t="shared" si="6"/>
        <v/>
      </c>
      <c r="K154" s="13"/>
      <c r="L154" s="13"/>
      <c r="M154" s="13"/>
      <c r="N154" s="15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5"/>
        <v/>
      </c>
      <c r="J155" s="14" t="str">
        <f t="shared" si="6"/>
        <v/>
      </c>
      <c r="K155" s="13"/>
      <c r="L155" s="13"/>
      <c r="M155" s="13"/>
      <c r="N155" s="15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5"/>
        <v/>
      </c>
      <c r="J156" s="14" t="str">
        <f t="shared" si="6"/>
        <v/>
      </c>
      <c r="K156" s="13"/>
      <c r="L156" s="13"/>
      <c r="M156" s="13"/>
      <c r="N156" s="15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5"/>
        <v/>
      </c>
      <c r="J157" s="14" t="str">
        <f t="shared" si="6"/>
        <v/>
      </c>
      <c r="K157" s="13"/>
      <c r="L157" s="13"/>
      <c r="M157" s="13"/>
      <c r="N157" s="15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5"/>
        <v/>
      </c>
      <c r="J158" s="14" t="str">
        <f t="shared" si="6"/>
        <v/>
      </c>
      <c r="K158" s="13"/>
      <c r="L158" s="13"/>
      <c r="M158" s="13"/>
      <c r="N158" s="15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5"/>
        <v/>
      </c>
      <c r="J159" s="14" t="str">
        <f t="shared" si="6"/>
        <v/>
      </c>
      <c r="K159" s="13"/>
      <c r="L159" s="13"/>
      <c r="M159" s="13"/>
      <c r="N159" s="15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5"/>
        <v/>
      </c>
      <c r="J160" s="14" t="str">
        <f t="shared" si="6"/>
        <v/>
      </c>
      <c r="K160" s="13"/>
      <c r="L160" s="13"/>
      <c r="M160" s="13"/>
      <c r="N160" s="15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5"/>
        <v/>
      </c>
      <c r="J161" s="14" t="str">
        <f t="shared" si="6"/>
        <v/>
      </c>
      <c r="K161" s="13"/>
      <c r="L161" s="13"/>
      <c r="M161" s="13"/>
      <c r="N161" s="15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5"/>
        <v/>
      </c>
      <c r="J162" s="14" t="str">
        <f t="shared" si="6"/>
        <v/>
      </c>
      <c r="K162" s="13"/>
      <c r="L162" s="13"/>
      <c r="M162" s="13"/>
      <c r="N162" s="15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5"/>
        <v/>
      </c>
      <c r="J163" s="14" t="str">
        <f t="shared" si="6"/>
        <v/>
      </c>
      <c r="K163" s="13"/>
      <c r="L163" s="13"/>
      <c r="M163" s="13"/>
      <c r="N163" s="15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5"/>
        <v/>
      </c>
      <c r="J164" s="14" t="str">
        <f t="shared" si="6"/>
        <v/>
      </c>
      <c r="K164" s="13"/>
      <c r="L164" s="13"/>
      <c r="M164" s="13"/>
      <c r="N164" s="15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5"/>
        <v/>
      </c>
      <c r="J165" s="14" t="str">
        <f t="shared" si="6"/>
        <v/>
      </c>
      <c r="K165" s="13"/>
      <c r="L165" s="13"/>
      <c r="M165" s="13"/>
      <c r="N165" s="15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5"/>
        <v/>
      </c>
      <c r="J166" s="14" t="str">
        <f t="shared" si="6"/>
        <v/>
      </c>
      <c r="K166" s="13"/>
      <c r="L166" s="13"/>
      <c r="M166" s="13"/>
      <c r="N166" s="15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5"/>
        <v/>
      </c>
      <c r="J167" s="14" t="str">
        <f t="shared" si="6"/>
        <v/>
      </c>
      <c r="K167" s="13"/>
      <c r="L167" s="13"/>
      <c r="M167" s="13"/>
      <c r="N167" s="15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5"/>
        <v/>
      </c>
      <c r="J168" s="14" t="str">
        <f t="shared" si="6"/>
        <v/>
      </c>
      <c r="K168" s="13"/>
      <c r="L168" s="13"/>
      <c r="M168" s="13"/>
      <c r="N168" s="15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5"/>
        <v/>
      </c>
      <c r="J169" s="14" t="str">
        <f t="shared" si="6"/>
        <v/>
      </c>
      <c r="K169" s="13"/>
      <c r="L169" s="13"/>
      <c r="M169" s="13"/>
      <c r="N169" s="15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5"/>
        <v/>
      </c>
      <c r="J170" s="14" t="str">
        <f t="shared" si="6"/>
        <v/>
      </c>
      <c r="K170" s="13"/>
      <c r="L170" s="13"/>
      <c r="M170" s="13"/>
      <c r="N170" s="15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5"/>
        <v/>
      </c>
      <c r="J171" s="14" t="str">
        <f t="shared" si="6"/>
        <v/>
      </c>
      <c r="K171" s="13"/>
      <c r="L171" s="13"/>
      <c r="M171" s="13"/>
      <c r="N171" s="15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5"/>
        <v/>
      </c>
      <c r="J172" s="14" t="str">
        <f t="shared" si="6"/>
        <v/>
      </c>
      <c r="K172" s="13"/>
      <c r="L172" s="13"/>
      <c r="M172" s="13"/>
      <c r="N172" s="15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5"/>
        <v/>
      </c>
      <c r="J173" s="14" t="str">
        <f t="shared" si="6"/>
        <v/>
      </c>
      <c r="K173" s="13"/>
      <c r="L173" s="13"/>
      <c r="M173" s="13"/>
      <c r="N173" s="15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5"/>
        <v/>
      </c>
      <c r="J174" s="14" t="str">
        <f t="shared" si="6"/>
        <v/>
      </c>
      <c r="K174" s="13"/>
      <c r="L174" s="13"/>
      <c r="M174" s="13"/>
      <c r="N174" s="15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5"/>
        <v/>
      </c>
      <c r="J175" s="14" t="str">
        <f t="shared" si="6"/>
        <v/>
      </c>
      <c r="K175" s="13"/>
      <c r="L175" s="13"/>
      <c r="M175" s="13"/>
      <c r="N175" s="15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5"/>
        <v/>
      </c>
      <c r="J176" s="14" t="str">
        <f t="shared" si="6"/>
        <v/>
      </c>
      <c r="K176" s="13"/>
      <c r="L176" s="13"/>
      <c r="M176" s="13"/>
      <c r="N176" s="15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5"/>
        <v/>
      </c>
      <c r="J177" s="14" t="str">
        <f t="shared" si="6"/>
        <v/>
      </c>
      <c r="K177" s="13"/>
      <c r="L177" s="13"/>
      <c r="M177" s="13"/>
      <c r="N177" s="15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5"/>
        <v/>
      </c>
      <c r="J178" s="14" t="str">
        <f t="shared" si="6"/>
        <v/>
      </c>
      <c r="K178" s="13"/>
      <c r="L178" s="13"/>
      <c r="M178" s="13"/>
      <c r="N178" s="15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5"/>
        <v/>
      </c>
      <c r="J179" s="14" t="str">
        <f t="shared" si="6"/>
        <v/>
      </c>
      <c r="K179" s="13"/>
      <c r="L179" s="13"/>
      <c r="M179" s="13"/>
      <c r="N179" s="15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5"/>
        <v/>
      </c>
      <c r="J180" s="14" t="str">
        <f t="shared" si="6"/>
        <v/>
      </c>
      <c r="K180" s="13"/>
      <c r="L180" s="13"/>
      <c r="M180" s="13"/>
      <c r="N180" s="15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5"/>
        <v/>
      </c>
      <c r="J181" s="14" t="str">
        <f t="shared" si="6"/>
        <v/>
      </c>
      <c r="K181" s="13"/>
      <c r="L181" s="13"/>
      <c r="M181" s="13"/>
      <c r="N181" s="15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5"/>
        <v/>
      </c>
      <c r="J182" s="14" t="str">
        <f t="shared" si="6"/>
        <v/>
      </c>
      <c r="K182" s="13"/>
      <c r="L182" s="13"/>
      <c r="M182" s="13"/>
      <c r="N182" s="15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5"/>
        <v/>
      </c>
      <c r="J183" s="14" t="str">
        <f t="shared" si="6"/>
        <v/>
      </c>
      <c r="K183" s="13"/>
      <c r="L183" s="13"/>
      <c r="M183" s="13"/>
      <c r="N183" s="15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5"/>
        <v/>
      </c>
      <c r="J184" s="14" t="str">
        <f t="shared" si="6"/>
        <v/>
      </c>
      <c r="K184" s="13"/>
      <c r="L184" s="13"/>
      <c r="M184" s="13"/>
      <c r="N184" s="15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5"/>
        <v/>
      </c>
      <c r="J185" s="14" t="str">
        <f t="shared" si="6"/>
        <v/>
      </c>
      <c r="K185" s="13"/>
      <c r="L185" s="13"/>
      <c r="M185" s="13"/>
      <c r="N185" s="15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5"/>
        <v/>
      </c>
      <c r="J186" s="14" t="str">
        <f t="shared" si="6"/>
        <v/>
      </c>
      <c r="K186" s="13"/>
      <c r="L186" s="13"/>
      <c r="M186" s="13"/>
      <c r="N186" s="15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5"/>
        <v/>
      </c>
      <c r="J187" s="14" t="str">
        <f t="shared" si="6"/>
        <v/>
      </c>
      <c r="K187" s="13"/>
      <c r="L187" s="13"/>
      <c r="M187" s="13"/>
      <c r="N187" s="15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5"/>
        <v/>
      </c>
      <c r="J188" s="14" t="str">
        <f t="shared" si="6"/>
        <v/>
      </c>
      <c r="K188" s="13"/>
      <c r="L188" s="13"/>
      <c r="M188" s="13"/>
      <c r="N188" s="15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5"/>
        <v/>
      </c>
      <c r="J189" s="14" t="str">
        <f t="shared" si="6"/>
        <v/>
      </c>
      <c r="K189" s="13"/>
      <c r="L189" s="13"/>
      <c r="M189" s="13"/>
      <c r="N189" s="15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5"/>
        <v/>
      </c>
      <c r="J190" s="14" t="str">
        <f t="shared" si="6"/>
        <v/>
      </c>
      <c r="K190" s="13"/>
      <c r="L190" s="13"/>
      <c r="M190" s="13"/>
      <c r="N190" s="15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5"/>
        <v/>
      </c>
      <c r="J191" s="14" t="str">
        <f t="shared" si="6"/>
        <v/>
      </c>
      <c r="K191" s="13"/>
      <c r="L191" s="13"/>
      <c r="M191" s="13"/>
      <c r="N191" s="15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5"/>
        <v/>
      </c>
      <c r="J192" s="14" t="str">
        <f t="shared" si="6"/>
        <v/>
      </c>
      <c r="K192" s="13"/>
      <c r="L192" s="13"/>
      <c r="M192" s="13"/>
      <c r="N192" s="15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5"/>
        <v/>
      </c>
      <c r="J193" s="14" t="str">
        <f t="shared" si="6"/>
        <v/>
      </c>
      <c r="K193" s="13"/>
      <c r="L193" s="13"/>
      <c r="M193" s="13"/>
      <c r="N193" s="15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5"/>
        <v/>
      </c>
      <c r="J194" s="14" t="str">
        <f t="shared" si="6"/>
        <v/>
      </c>
      <c r="K194" s="13"/>
      <c r="L194" s="13"/>
      <c r="M194" s="13"/>
      <c r="N194" s="15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5"/>
        <v/>
      </c>
      <c r="J195" s="14" t="str">
        <f t="shared" si="6"/>
        <v/>
      </c>
      <c r="K195" s="13"/>
      <c r="L195" s="13"/>
      <c r="M195" s="13"/>
      <c r="N195" s="15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5"/>
        <v/>
      </c>
      <c r="J196" s="14" t="str">
        <f t="shared" si="6"/>
        <v/>
      </c>
      <c r="K196" s="13"/>
      <c r="L196" s="13"/>
      <c r="M196" s="13"/>
      <c r="N196" s="15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5"/>
        <v/>
      </c>
      <c r="J197" s="14" t="str">
        <f t="shared" si="6"/>
        <v/>
      </c>
      <c r="K197" s="13"/>
      <c r="L197" s="13"/>
      <c r="M197" s="13"/>
      <c r="N197" s="15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5"/>
        <v/>
      </c>
      <c r="J198" s="14" t="str">
        <f t="shared" si="6"/>
        <v/>
      </c>
      <c r="K198" s="13"/>
      <c r="L198" s="13"/>
      <c r="M198" s="13"/>
      <c r="N198" s="15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5"/>
        <v/>
      </c>
      <c r="J199" s="14" t="str">
        <f t="shared" si="6"/>
        <v/>
      </c>
      <c r="K199" s="13"/>
      <c r="L199" s="13"/>
      <c r="M199" s="13"/>
      <c r="N199" s="15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5"/>
        <v/>
      </c>
      <c r="J200" s="14" t="str">
        <f t="shared" si="6"/>
        <v/>
      </c>
      <c r="K200" s="13"/>
      <c r="L200" s="13"/>
      <c r="M200" s="13"/>
      <c r="N200" s="15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5"/>
        <v/>
      </c>
      <c r="J201" s="14" t="str">
        <f t="shared" si="6"/>
        <v/>
      </c>
      <c r="K201" s="13"/>
      <c r="L201" s="13"/>
      <c r="M201" s="13"/>
      <c r="N201" s="15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5"/>
        <v/>
      </c>
      <c r="J202" s="14" t="str">
        <f t="shared" si="6"/>
        <v/>
      </c>
      <c r="K202" s="13"/>
      <c r="L202" s="13"/>
      <c r="M202" s="13"/>
      <c r="N202" s="15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5"/>
        <v/>
      </c>
      <c r="J203" s="14" t="str">
        <f t="shared" si="6"/>
        <v/>
      </c>
      <c r="K203" s="13"/>
      <c r="L203" s="13"/>
      <c r="M203" s="13"/>
      <c r="N203" s="15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5"/>
        <v/>
      </c>
      <c r="J204" s="14" t="str">
        <f t="shared" si="6"/>
        <v/>
      </c>
      <c r="K204" s="13"/>
      <c r="L204" s="13"/>
      <c r="M204" s="13"/>
      <c r="N204" s="15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5"/>
        <v/>
      </c>
      <c r="J205" s="14" t="str">
        <f t="shared" si="6"/>
        <v/>
      </c>
      <c r="K205" s="13"/>
      <c r="L205" s="13"/>
      <c r="M205" s="13"/>
      <c r="N205" s="15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5"/>
        <v/>
      </c>
      <c r="J206" s="14" t="str">
        <f t="shared" si="6"/>
        <v/>
      </c>
      <c r="K206" s="13"/>
      <c r="L206" s="13"/>
      <c r="M206" s="13"/>
      <c r="N206" s="15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5"/>
        <v/>
      </c>
      <c r="J207" s="14" t="str">
        <f t="shared" si="6"/>
        <v/>
      </c>
      <c r="K207" s="13"/>
      <c r="L207" s="13"/>
      <c r="M207" s="13"/>
      <c r="N207" s="15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5"/>
        <v/>
      </c>
      <c r="J208" s="14" t="str">
        <f t="shared" si="6"/>
        <v/>
      </c>
      <c r="K208" s="13"/>
      <c r="L208" s="13"/>
      <c r="M208" s="13"/>
      <c r="N208" s="15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5"/>
        <v/>
      </c>
      <c r="J209" s="14" t="str">
        <f t="shared" si="6"/>
        <v/>
      </c>
      <c r="K209" s="13"/>
      <c r="L209" s="13"/>
      <c r="M209" s="13"/>
      <c r="N209" s="15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5"/>
        <v/>
      </c>
      <c r="J210" s="14" t="str">
        <f t="shared" si="6"/>
        <v/>
      </c>
      <c r="K210" s="13"/>
      <c r="L210" s="13"/>
      <c r="M210" s="13"/>
      <c r="N210" s="15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ref="I211:I274" si="7">IF(SUM(B211:F211,H211)=0,"",SUM(B211:F211,H211))</f>
        <v/>
      </c>
      <c r="J211" s="14" t="str">
        <f t="shared" ref="J211:J274" si="8">IF(I211="","",1440-I211)</f>
        <v/>
      </c>
      <c r="K211" s="13"/>
      <c r="L211" s="13"/>
      <c r="M211" s="13"/>
      <c r="N211" s="15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7"/>
        <v/>
      </c>
      <c r="J212" s="14" t="str">
        <f t="shared" si="8"/>
        <v/>
      </c>
      <c r="K212" s="13"/>
      <c r="L212" s="13"/>
      <c r="M212" s="13"/>
      <c r="N212" s="15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7"/>
        <v/>
      </c>
      <c r="J213" s="14" t="str">
        <f t="shared" si="8"/>
        <v/>
      </c>
      <c r="K213" s="13"/>
      <c r="L213" s="13"/>
      <c r="M213" s="13"/>
      <c r="N213" s="15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7"/>
        <v/>
      </c>
      <c r="J214" s="14" t="str">
        <f t="shared" si="8"/>
        <v/>
      </c>
      <c r="K214" s="13"/>
      <c r="L214" s="13"/>
      <c r="M214" s="13"/>
      <c r="N214" s="15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7"/>
        <v/>
      </c>
      <c r="J215" s="14" t="str">
        <f t="shared" si="8"/>
        <v/>
      </c>
      <c r="K215" s="13"/>
      <c r="L215" s="13"/>
      <c r="M215" s="13"/>
      <c r="N215" s="15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7"/>
        <v/>
      </c>
      <c r="J216" s="14" t="str">
        <f t="shared" si="8"/>
        <v/>
      </c>
      <c r="K216" s="13"/>
      <c r="L216" s="13"/>
      <c r="M216" s="13"/>
      <c r="N216" s="15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7"/>
        <v/>
      </c>
      <c r="J217" s="14" t="str">
        <f t="shared" si="8"/>
        <v/>
      </c>
      <c r="K217" s="13"/>
      <c r="L217" s="13"/>
      <c r="M217" s="13"/>
      <c r="N217" s="15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7"/>
        <v/>
      </c>
      <c r="J218" s="14" t="str">
        <f t="shared" si="8"/>
        <v/>
      </c>
      <c r="K218" s="13"/>
      <c r="L218" s="13"/>
      <c r="M218" s="13"/>
      <c r="N218" s="15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7"/>
        <v/>
      </c>
      <c r="J219" s="14" t="str">
        <f t="shared" si="8"/>
        <v/>
      </c>
      <c r="K219" s="13"/>
      <c r="L219" s="13"/>
      <c r="M219" s="13"/>
      <c r="N219" s="15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7"/>
        <v/>
      </c>
      <c r="J220" s="14" t="str">
        <f t="shared" si="8"/>
        <v/>
      </c>
      <c r="K220" s="13"/>
      <c r="L220" s="13"/>
      <c r="M220" s="13"/>
      <c r="N220" s="15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7"/>
        <v/>
      </c>
      <c r="J221" s="14" t="str">
        <f t="shared" si="8"/>
        <v/>
      </c>
      <c r="K221" s="13"/>
      <c r="L221" s="13"/>
      <c r="M221" s="13"/>
      <c r="N221" s="15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7"/>
        <v/>
      </c>
      <c r="J222" s="14" t="str">
        <f t="shared" si="8"/>
        <v/>
      </c>
      <c r="K222" s="13"/>
      <c r="L222" s="13"/>
      <c r="M222" s="13"/>
      <c r="N222" s="15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7"/>
        <v/>
      </c>
      <c r="J223" s="14" t="str">
        <f t="shared" si="8"/>
        <v/>
      </c>
      <c r="K223" s="13"/>
      <c r="L223" s="13"/>
      <c r="M223" s="13"/>
      <c r="N223" s="15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7"/>
        <v/>
      </c>
      <c r="J224" s="14" t="str">
        <f t="shared" si="8"/>
        <v/>
      </c>
      <c r="K224" s="13"/>
      <c r="L224" s="13"/>
      <c r="M224" s="13"/>
      <c r="N224" s="15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7"/>
        <v/>
      </c>
      <c r="J225" s="14" t="str">
        <f t="shared" si="8"/>
        <v/>
      </c>
      <c r="K225" s="13"/>
      <c r="L225" s="13"/>
      <c r="M225" s="13"/>
      <c r="N225" s="15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7"/>
        <v/>
      </c>
      <c r="J226" s="14" t="str">
        <f t="shared" si="8"/>
        <v/>
      </c>
      <c r="K226" s="13"/>
      <c r="L226" s="13"/>
      <c r="M226" s="13"/>
      <c r="N226" s="15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7"/>
        <v/>
      </c>
      <c r="J227" s="14" t="str">
        <f t="shared" si="8"/>
        <v/>
      </c>
      <c r="K227" s="13"/>
      <c r="L227" s="13"/>
      <c r="M227" s="13"/>
      <c r="N227" s="15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7"/>
        <v/>
      </c>
      <c r="J228" s="14" t="str">
        <f t="shared" si="8"/>
        <v/>
      </c>
      <c r="K228" s="13"/>
      <c r="L228" s="13"/>
      <c r="M228" s="13"/>
      <c r="N228" s="15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7"/>
        <v/>
      </c>
      <c r="J229" s="14" t="str">
        <f t="shared" si="8"/>
        <v/>
      </c>
      <c r="K229" s="13"/>
      <c r="L229" s="13"/>
      <c r="M229" s="13"/>
      <c r="N229" s="15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7"/>
        <v/>
      </c>
      <c r="J230" s="14" t="str">
        <f t="shared" si="8"/>
        <v/>
      </c>
      <c r="K230" s="13"/>
      <c r="L230" s="13"/>
      <c r="M230" s="13"/>
      <c r="N230" s="15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7"/>
        <v/>
      </c>
      <c r="J231" s="14" t="str">
        <f t="shared" si="8"/>
        <v/>
      </c>
      <c r="K231" s="13"/>
      <c r="L231" s="13"/>
      <c r="M231" s="13"/>
      <c r="N231" s="15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7"/>
        <v/>
      </c>
      <c r="J232" s="14" t="str">
        <f t="shared" si="8"/>
        <v/>
      </c>
      <c r="K232" s="13"/>
      <c r="L232" s="13"/>
      <c r="M232" s="13"/>
      <c r="N232" s="15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7"/>
        <v/>
      </c>
      <c r="J233" s="14" t="str">
        <f t="shared" si="8"/>
        <v/>
      </c>
      <c r="K233" s="13"/>
      <c r="L233" s="13"/>
      <c r="M233" s="13"/>
      <c r="N233" s="15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7"/>
        <v/>
      </c>
      <c r="J234" s="14" t="str">
        <f t="shared" si="8"/>
        <v/>
      </c>
      <c r="K234" s="13"/>
      <c r="L234" s="13"/>
      <c r="M234" s="13"/>
      <c r="N234" s="15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7"/>
        <v/>
      </c>
      <c r="J235" s="14" t="str">
        <f t="shared" si="8"/>
        <v/>
      </c>
      <c r="K235" s="13"/>
      <c r="L235" s="13"/>
      <c r="M235" s="13"/>
      <c r="N235" s="15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7"/>
        <v/>
      </c>
      <c r="J236" s="14" t="str">
        <f t="shared" si="8"/>
        <v/>
      </c>
      <c r="K236" s="13"/>
      <c r="L236" s="13"/>
      <c r="M236" s="13"/>
      <c r="N236" s="15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7"/>
        <v/>
      </c>
      <c r="J237" s="14" t="str">
        <f t="shared" si="8"/>
        <v/>
      </c>
      <c r="K237" s="13"/>
      <c r="L237" s="13"/>
      <c r="M237" s="13"/>
      <c r="N237" s="15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7"/>
        <v/>
      </c>
      <c r="J238" s="14" t="str">
        <f t="shared" si="8"/>
        <v/>
      </c>
      <c r="K238" s="13"/>
      <c r="L238" s="13"/>
      <c r="M238" s="13"/>
      <c r="N238" s="15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7"/>
        <v/>
      </c>
      <c r="J239" s="14" t="str">
        <f t="shared" si="8"/>
        <v/>
      </c>
      <c r="K239" s="13"/>
      <c r="L239" s="13"/>
      <c r="M239" s="13"/>
      <c r="N239" s="15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7"/>
        <v/>
      </c>
      <c r="J240" s="14" t="str">
        <f t="shared" si="8"/>
        <v/>
      </c>
      <c r="K240" s="13"/>
      <c r="L240" s="13"/>
      <c r="M240" s="13"/>
      <c r="N240" s="15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7"/>
        <v/>
      </c>
      <c r="J241" s="14" t="str">
        <f t="shared" si="8"/>
        <v/>
      </c>
      <c r="K241" s="13"/>
      <c r="L241" s="13"/>
      <c r="M241" s="13"/>
      <c r="N241" s="15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7"/>
        <v/>
      </c>
      <c r="J242" s="14" t="str">
        <f t="shared" si="8"/>
        <v/>
      </c>
      <c r="K242" s="13"/>
      <c r="L242" s="13"/>
      <c r="M242" s="13"/>
      <c r="N242" s="15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7"/>
        <v/>
      </c>
      <c r="J243" s="14" t="str">
        <f t="shared" si="8"/>
        <v/>
      </c>
      <c r="K243" s="13"/>
      <c r="L243" s="13"/>
      <c r="M243" s="13"/>
      <c r="N243" s="15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7"/>
        <v/>
      </c>
      <c r="J244" s="14" t="str">
        <f t="shared" si="8"/>
        <v/>
      </c>
      <c r="K244" s="13"/>
      <c r="L244" s="13"/>
      <c r="M244" s="13"/>
      <c r="N244" s="15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7"/>
        <v/>
      </c>
      <c r="J245" s="14" t="str">
        <f t="shared" si="8"/>
        <v/>
      </c>
      <c r="K245" s="13"/>
      <c r="L245" s="13"/>
      <c r="M245" s="13"/>
      <c r="N245" s="15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7"/>
        <v/>
      </c>
      <c r="J246" s="14" t="str">
        <f t="shared" si="8"/>
        <v/>
      </c>
      <c r="K246" s="13"/>
      <c r="L246" s="13"/>
      <c r="M246" s="13"/>
      <c r="N246" s="15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7"/>
        <v/>
      </c>
      <c r="J247" s="14" t="str">
        <f t="shared" si="8"/>
        <v/>
      </c>
      <c r="K247" s="13"/>
      <c r="L247" s="13"/>
      <c r="M247" s="13"/>
      <c r="N247" s="15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7"/>
        <v/>
      </c>
      <c r="J248" s="14" t="str">
        <f t="shared" si="8"/>
        <v/>
      </c>
      <c r="K248" s="13"/>
      <c r="L248" s="13"/>
      <c r="M248" s="13"/>
      <c r="N248" s="15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7"/>
        <v/>
      </c>
      <c r="J249" s="14" t="str">
        <f t="shared" si="8"/>
        <v/>
      </c>
      <c r="K249" s="13"/>
      <c r="L249" s="13"/>
      <c r="M249" s="13"/>
      <c r="N249" s="15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7"/>
        <v/>
      </c>
      <c r="J250" s="14" t="str">
        <f t="shared" si="8"/>
        <v/>
      </c>
      <c r="K250" s="13"/>
      <c r="L250" s="13"/>
      <c r="M250" s="13"/>
      <c r="N250" s="15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7"/>
        <v/>
      </c>
      <c r="J251" s="14" t="str">
        <f t="shared" si="8"/>
        <v/>
      </c>
      <c r="K251" s="13"/>
      <c r="L251" s="13"/>
      <c r="M251" s="13"/>
      <c r="N251" s="15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7"/>
        <v/>
      </c>
      <c r="J252" s="14" t="str">
        <f t="shared" si="8"/>
        <v/>
      </c>
      <c r="K252" s="13"/>
      <c r="L252" s="13"/>
      <c r="M252" s="13"/>
      <c r="N252" s="15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7"/>
        <v/>
      </c>
      <c r="J253" s="14" t="str">
        <f t="shared" si="8"/>
        <v/>
      </c>
      <c r="K253" s="13"/>
      <c r="L253" s="13"/>
      <c r="M253" s="13"/>
      <c r="N253" s="15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7"/>
        <v/>
      </c>
      <c r="J254" s="14" t="str">
        <f t="shared" si="8"/>
        <v/>
      </c>
      <c r="K254" s="13"/>
      <c r="L254" s="13"/>
      <c r="M254" s="13"/>
      <c r="N254" s="15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7"/>
        <v/>
      </c>
      <c r="J255" s="14" t="str">
        <f t="shared" si="8"/>
        <v/>
      </c>
      <c r="K255" s="13"/>
      <c r="L255" s="13"/>
      <c r="M255" s="13"/>
      <c r="N255" s="15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7"/>
        <v/>
      </c>
      <c r="J256" s="14" t="str">
        <f t="shared" si="8"/>
        <v/>
      </c>
      <c r="K256" s="13"/>
      <c r="L256" s="13"/>
      <c r="M256" s="13"/>
      <c r="N256" s="15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7"/>
        <v/>
      </c>
      <c r="J257" s="14" t="str">
        <f t="shared" si="8"/>
        <v/>
      </c>
      <c r="K257" s="13"/>
      <c r="L257" s="13"/>
      <c r="M257" s="13"/>
      <c r="N257" s="15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7"/>
        <v/>
      </c>
      <c r="J258" s="14" t="str">
        <f t="shared" si="8"/>
        <v/>
      </c>
      <c r="K258" s="13"/>
      <c r="L258" s="13"/>
      <c r="M258" s="13"/>
      <c r="N258" s="15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7"/>
        <v/>
      </c>
      <c r="J259" s="14" t="str">
        <f t="shared" si="8"/>
        <v/>
      </c>
      <c r="K259" s="13"/>
      <c r="L259" s="13"/>
      <c r="M259" s="13"/>
      <c r="N259" s="15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7"/>
        <v/>
      </c>
      <c r="J260" s="14" t="str">
        <f t="shared" si="8"/>
        <v/>
      </c>
      <c r="K260" s="13"/>
      <c r="L260" s="13"/>
      <c r="M260" s="13"/>
      <c r="N260" s="15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7"/>
        <v/>
      </c>
      <c r="J261" s="14" t="str">
        <f t="shared" si="8"/>
        <v/>
      </c>
      <c r="K261" s="13"/>
      <c r="L261" s="13"/>
      <c r="M261" s="13"/>
      <c r="N261" s="15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7"/>
        <v/>
      </c>
      <c r="J262" s="14" t="str">
        <f t="shared" si="8"/>
        <v/>
      </c>
      <c r="K262" s="13"/>
      <c r="L262" s="13"/>
      <c r="M262" s="13"/>
      <c r="N262" s="15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7"/>
        <v/>
      </c>
      <c r="J263" s="14" t="str">
        <f t="shared" si="8"/>
        <v/>
      </c>
      <c r="K263" s="13"/>
      <c r="L263" s="13"/>
      <c r="M263" s="13"/>
      <c r="N263" s="15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7"/>
        <v/>
      </c>
      <c r="J264" s="14" t="str">
        <f t="shared" si="8"/>
        <v/>
      </c>
      <c r="K264" s="13"/>
      <c r="L264" s="13"/>
      <c r="M264" s="13"/>
      <c r="N264" s="15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7"/>
        <v/>
      </c>
      <c r="J265" s="14" t="str">
        <f t="shared" si="8"/>
        <v/>
      </c>
      <c r="K265" s="13"/>
      <c r="L265" s="13"/>
      <c r="M265" s="13"/>
      <c r="N265" s="15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7"/>
        <v/>
      </c>
      <c r="J266" s="14" t="str">
        <f t="shared" si="8"/>
        <v/>
      </c>
      <c r="K266" s="13"/>
      <c r="L266" s="13"/>
      <c r="M266" s="13"/>
      <c r="N266" s="15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7"/>
        <v/>
      </c>
      <c r="J267" s="14" t="str">
        <f t="shared" si="8"/>
        <v/>
      </c>
      <c r="K267" s="13"/>
      <c r="L267" s="13"/>
      <c r="M267" s="13"/>
      <c r="N267" s="15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7"/>
        <v/>
      </c>
      <c r="J268" s="14" t="str">
        <f t="shared" si="8"/>
        <v/>
      </c>
      <c r="K268" s="13"/>
      <c r="L268" s="13"/>
      <c r="M268" s="13"/>
      <c r="N268" s="15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7"/>
        <v/>
      </c>
      <c r="J269" s="14" t="str">
        <f t="shared" si="8"/>
        <v/>
      </c>
      <c r="K269" s="13"/>
      <c r="L269" s="13"/>
      <c r="M269" s="13"/>
      <c r="N269" s="15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7"/>
        <v/>
      </c>
      <c r="J270" s="14" t="str">
        <f t="shared" si="8"/>
        <v/>
      </c>
      <c r="K270" s="13"/>
      <c r="L270" s="13"/>
      <c r="M270" s="13"/>
      <c r="N270" s="15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7"/>
        <v/>
      </c>
      <c r="J271" s="14" t="str">
        <f t="shared" si="8"/>
        <v/>
      </c>
      <c r="K271" s="13"/>
      <c r="L271" s="13"/>
      <c r="M271" s="13"/>
      <c r="N271" s="15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7"/>
        <v/>
      </c>
      <c r="J272" s="14" t="str">
        <f t="shared" si="8"/>
        <v/>
      </c>
      <c r="K272" s="13"/>
      <c r="L272" s="13"/>
      <c r="M272" s="13"/>
      <c r="N272" s="15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7"/>
        <v/>
      </c>
      <c r="J273" s="14" t="str">
        <f t="shared" si="8"/>
        <v/>
      </c>
      <c r="K273" s="13"/>
      <c r="L273" s="13"/>
      <c r="M273" s="13"/>
      <c r="N273" s="15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7"/>
        <v/>
      </c>
      <c r="J274" s="14" t="str">
        <f t="shared" si="8"/>
        <v/>
      </c>
      <c r="K274" s="13"/>
      <c r="L274" s="13"/>
      <c r="M274" s="13"/>
      <c r="N274" s="15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ref="I275:I338" si="9">IF(SUM(B275:F275,H275)=0,"",SUM(B275:F275,H275))</f>
        <v/>
      </c>
      <c r="J275" s="14" t="str">
        <f t="shared" ref="J275:J338" si="10">IF(I275="","",1440-I275)</f>
        <v/>
      </c>
      <c r="K275" s="13"/>
      <c r="L275" s="13"/>
      <c r="M275" s="13"/>
      <c r="N275" s="15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9"/>
        <v/>
      </c>
      <c r="J276" s="14" t="str">
        <f t="shared" si="10"/>
        <v/>
      </c>
      <c r="K276" s="13"/>
      <c r="L276" s="13"/>
      <c r="M276" s="13"/>
      <c r="N276" s="15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9"/>
        <v/>
      </c>
      <c r="J277" s="14" t="str">
        <f t="shared" si="10"/>
        <v/>
      </c>
      <c r="K277" s="13"/>
      <c r="L277" s="13"/>
      <c r="M277" s="13"/>
      <c r="N277" s="15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9"/>
        <v/>
      </c>
      <c r="J278" s="14" t="str">
        <f t="shared" si="10"/>
        <v/>
      </c>
      <c r="K278" s="13"/>
      <c r="L278" s="13"/>
      <c r="M278" s="13"/>
      <c r="N278" s="15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9"/>
        <v/>
      </c>
      <c r="J279" s="14" t="str">
        <f t="shared" si="10"/>
        <v/>
      </c>
      <c r="K279" s="13"/>
      <c r="L279" s="13"/>
      <c r="M279" s="13"/>
      <c r="N279" s="15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9"/>
        <v/>
      </c>
      <c r="J280" s="14" t="str">
        <f t="shared" si="10"/>
        <v/>
      </c>
      <c r="K280" s="13"/>
      <c r="L280" s="13"/>
      <c r="M280" s="13"/>
      <c r="N280" s="15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9"/>
        <v/>
      </c>
      <c r="J281" s="14" t="str">
        <f t="shared" si="10"/>
        <v/>
      </c>
      <c r="K281" s="13"/>
      <c r="L281" s="13"/>
      <c r="M281" s="13"/>
      <c r="N281" s="15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9"/>
        <v/>
      </c>
      <c r="J282" s="14" t="str">
        <f t="shared" si="10"/>
        <v/>
      </c>
      <c r="K282" s="13"/>
      <c r="L282" s="13"/>
      <c r="M282" s="13"/>
      <c r="N282" s="15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9"/>
        <v/>
      </c>
      <c r="J283" s="14" t="str">
        <f t="shared" si="10"/>
        <v/>
      </c>
      <c r="K283" s="13"/>
      <c r="L283" s="13"/>
      <c r="M283" s="13"/>
      <c r="N283" s="15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9"/>
        <v/>
      </c>
      <c r="J284" s="14" t="str">
        <f t="shared" si="10"/>
        <v/>
      </c>
      <c r="K284" s="13"/>
      <c r="L284" s="13"/>
      <c r="M284" s="13"/>
      <c r="N284" s="15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9"/>
        <v/>
      </c>
      <c r="J285" s="14" t="str">
        <f t="shared" si="10"/>
        <v/>
      </c>
      <c r="K285" s="13"/>
      <c r="L285" s="13"/>
      <c r="M285" s="13"/>
      <c r="N285" s="15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9"/>
        <v/>
      </c>
      <c r="J286" s="14" t="str">
        <f t="shared" si="10"/>
        <v/>
      </c>
      <c r="K286" s="13"/>
      <c r="L286" s="13"/>
      <c r="M286" s="13"/>
      <c r="N286" s="15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9"/>
        <v/>
      </c>
      <c r="J287" s="14" t="str">
        <f t="shared" si="10"/>
        <v/>
      </c>
      <c r="K287" s="13"/>
      <c r="L287" s="13"/>
      <c r="M287" s="13"/>
      <c r="N287" s="15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9"/>
        <v/>
      </c>
      <c r="J288" s="14" t="str">
        <f t="shared" si="10"/>
        <v/>
      </c>
      <c r="K288" s="13"/>
      <c r="L288" s="13"/>
      <c r="M288" s="13"/>
      <c r="N288" s="15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9"/>
        <v/>
      </c>
      <c r="J289" s="14" t="str">
        <f t="shared" si="10"/>
        <v/>
      </c>
      <c r="K289" s="13"/>
      <c r="L289" s="13"/>
      <c r="M289" s="13"/>
      <c r="N289" s="15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9"/>
        <v/>
      </c>
      <c r="J290" s="14" t="str">
        <f t="shared" si="10"/>
        <v/>
      </c>
      <c r="K290" s="13"/>
      <c r="L290" s="13"/>
      <c r="M290" s="13"/>
      <c r="N290" s="15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9"/>
        <v/>
      </c>
      <c r="J291" s="14" t="str">
        <f t="shared" si="10"/>
        <v/>
      </c>
      <c r="K291" s="13"/>
      <c r="L291" s="13"/>
      <c r="M291" s="13"/>
      <c r="N291" s="15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9"/>
        <v/>
      </c>
      <c r="J292" s="14" t="str">
        <f t="shared" si="10"/>
        <v/>
      </c>
      <c r="K292" s="13"/>
      <c r="L292" s="13"/>
      <c r="M292" s="13"/>
      <c r="N292" s="15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9"/>
        <v/>
      </c>
      <c r="J293" s="14" t="str">
        <f t="shared" si="10"/>
        <v/>
      </c>
      <c r="K293" s="13"/>
      <c r="L293" s="13"/>
      <c r="M293" s="13"/>
      <c r="N293" s="15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9"/>
        <v/>
      </c>
      <c r="J294" s="14" t="str">
        <f t="shared" si="10"/>
        <v/>
      </c>
      <c r="K294" s="13"/>
      <c r="L294" s="13"/>
      <c r="M294" s="13"/>
      <c r="N294" s="15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9"/>
        <v/>
      </c>
      <c r="J295" s="14" t="str">
        <f t="shared" si="10"/>
        <v/>
      </c>
      <c r="K295" s="13"/>
      <c r="L295" s="13"/>
      <c r="M295" s="13"/>
      <c r="N295" s="15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9"/>
        <v/>
      </c>
      <c r="J296" s="14" t="str">
        <f t="shared" si="10"/>
        <v/>
      </c>
      <c r="K296" s="13"/>
      <c r="L296" s="13"/>
      <c r="M296" s="13"/>
      <c r="N296" s="15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9"/>
        <v/>
      </c>
      <c r="J297" s="14" t="str">
        <f t="shared" si="10"/>
        <v/>
      </c>
      <c r="K297" s="13"/>
      <c r="L297" s="13"/>
      <c r="M297" s="13"/>
      <c r="N297" s="15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9"/>
        <v/>
      </c>
      <c r="J298" s="14" t="str">
        <f t="shared" si="10"/>
        <v/>
      </c>
      <c r="K298" s="13"/>
      <c r="L298" s="13"/>
      <c r="M298" s="13"/>
      <c r="N298" s="15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9"/>
        <v/>
      </c>
      <c r="J299" s="14" t="str">
        <f t="shared" si="10"/>
        <v/>
      </c>
      <c r="K299" s="13"/>
      <c r="L299" s="13"/>
      <c r="M299" s="13"/>
      <c r="N299" s="15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9"/>
        <v/>
      </c>
      <c r="J300" s="14" t="str">
        <f t="shared" si="10"/>
        <v/>
      </c>
      <c r="K300" s="13"/>
      <c r="L300" s="13"/>
      <c r="M300" s="13"/>
      <c r="N300" s="15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9"/>
        <v/>
      </c>
      <c r="J301" s="14" t="str">
        <f t="shared" si="10"/>
        <v/>
      </c>
      <c r="K301" s="13"/>
      <c r="L301" s="13"/>
      <c r="M301" s="13"/>
      <c r="N301" s="15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9"/>
        <v/>
      </c>
      <c r="J302" s="14" t="str">
        <f t="shared" si="10"/>
        <v/>
      </c>
      <c r="K302" s="13"/>
      <c r="L302" s="13"/>
      <c r="M302" s="13"/>
      <c r="N302" s="15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9"/>
        <v/>
      </c>
      <c r="J303" s="14" t="str">
        <f t="shared" si="10"/>
        <v/>
      </c>
      <c r="K303" s="13"/>
      <c r="L303" s="13"/>
      <c r="M303" s="13"/>
      <c r="N303" s="15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9"/>
        <v/>
      </c>
      <c r="J304" s="14" t="str">
        <f t="shared" si="10"/>
        <v/>
      </c>
      <c r="K304" s="13"/>
      <c r="L304" s="13"/>
      <c r="M304" s="13"/>
      <c r="N304" s="15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9"/>
        <v/>
      </c>
      <c r="J305" s="14" t="str">
        <f t="shared" si="10"/>
        <v/>
      </c>
      <c r="K305" s="13"/>
      <c r="L305" s="13"/>
      <c r="M305" s="13"/>
      <c r="N305" s="15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9"/>
        <v/>
      </c>
      <c r="J306" s="14" t="str">
        <f t="shared" si="10"/>
        <v/>
      </c>
      <c r="K306" s="13"/>
      <c r="L306" s="13"/>
      <c r="M306" s="13"/>
      <c r="N306" s="15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9"/>
        <v/>
      </c>
      <c r="J307" s="14" t="str">
        <f t="shared" si="10"/>
        <v/>
      </c>
      <c r="K307" s="13"/>
      <c r="L307" s="13"/>
      <c r="M307" s="13"/>
      <c r="N307" s="15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9"/>
        <v/>
      </c>
      <c r="J308" s="14" t="str">
        <f t="shared" si="10"/>
        <v/>
      </c>
      <c r="K308" s="13"/>
      <c r="L308" s="13"/>
      <c r="M308" s="13"/>
      <c r="N308" s="15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9"/>
        <v/>
      </c>
      <c r="J309" s="14" t="str">
        <f t="shared" si="10"/>
        <v/>
      </c>
      <c r="K309" s="13"/>
      <c r="L309" s="13"/>
      <c r="M309" s="13"/>
      <c r="N309" s="15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9"/>
        <v/>
      </c>
      <c r="J310" s="14" t="str">
        <f t="shared" si="10"/>
        <v/>
      </c>
      <c r="K310" s="13"/>
      <c r="L310" s="13"/>
      <c r="M310" s="13"/>
      <c r="N310" s="15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9"/>
        <v/>
      </c>
      <c r="J311" s="14" t="str">
        <f t="shared" si="10"/>
        <v/>
      </c>
      <c r="K311" s="13"/>
      <c r="L311" s="13"/>
      <c r="M311" s="13"/>
      <c r="N311" s="15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9"/>
        <v/>
      </c>
      <c r="J312" s="14" t="str">
        <f t="shared" si="10"/>
        <v/>
      </c>
      <c r="K312" s="13"/>
      <c r="L312" s="13"/>
      <c r="M312" s="13"/>
      <c r="N312" s="15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9"/>
        <v/>
      </c>
      <c r="J313" s="14" t="str">
        <f t="shared" si="10"/>
        <v/>
      </c>
      <c r="K313" s="13"/>
      <c r="L313" s="13"/>
      <c r="M313" s="13"/>
      <c r="N313" s="15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9"/>
        <v/>
      </c>
      <c r="J314" s="14" t="str">
        <f t="shared" si="10"/>
        <v/>
      </c>
      <c r="K314" s="13"/>
      <c r="L314" s="13"/>
      <c r="M314" s="13"/>
      <c r="N314" s="15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9"/>
        <v/>
      </c>
      <c r="J315" s="14" t="str">
        <f t="shared" si="10"/>
        <v/>
      </c>
      <c r="K315" s="13"/>
      <c r="L315" s="13"/>
      <c r="M315" s="13"/>
      <c r="N315" s="15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9"/>
        <v/>
      </c>
      <c r="J316" s="14" t="str">
        <f t="shared" si="10"/>
        <v/>
      </c>
      <c r="K316" s="13"/>
      <c r="L316" s="13"/>
      <c r="M316" s="13"/>
      <c r="N316" s="15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9"/>
        <v/>
      </c>
      <c r="J317" s="14" t="str">
        <f t="shared" si="10"/>
        <v/>
      </c>
      <c r="K317" s="13"/>
      <c r="L317" s="13"/>
      <c r="M317" s="13"/>
      <c r="N317" s="15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9"/>
        <v/>
      </c>
      <c r="J318" s="14" t="str">
        <f t="shared" si="10"/>
        <v/>
      </c>
      <c r="K318" s="13"/>
      <c r="L318" s="13"/>
      <c r="M318" s="13"/>
      <c r="N318" s="15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9"/>
        <v/>
      </c>
      <c r="J319" s="14" t="str">
        <f t="shared" si="10"/>
        <v/>
      </c>
      <c r="K319" s="13"/>
      <c r="L319" s="13"/>
      <c r="M319" s="13"/>
      <c r="N319" s="15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9"/>
        <v/>
      </c>
      <c r="J320" s="14" t="str">
        <f t="shared" si="10"/>
        <v/>
      </c>
      <c r="K320" s="13"/>
      <c r="L320" s="13"/>
      <c r="M320" s="13"/>
      <c r="N320" s="15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9"/>
        <v/>
      </c>
      <c r="J321" s="14" t="str">
        <f t="shared" si="10"/>
        <v/>
      </c>
      <c r="K321" s="13"/>
      <c r="L321" s="13"/>
      <c r="M321" s="13"/>
      <c r="N321" s="15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9"/>
        <v/>
      </c>
      <c r="J322" s="14" t="str">
        <f t="shared" si="10"/>
        <v/>
      </c>
      <c r="K322" s="13"/>
      <c r="L322" s="13"/>
      <c r="M322" s="13"/>
      <c r="N322" s="15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9"/>
        <v/>
      </c>
      <c r="J323" s="14" t="str">
        <f t="shared" si="10"/>
        <v/>
      </c>
      <c r="K323" s="13"/>
      <c r="L323" s="13"/>
      <c r="M323" s="13"/>
      <c r="N323" s="15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9"/>
        <v/>
      </c>
      <c r="J324" s="14" t="str">
        <f t="shared" si="10"/>
        <v/>
      </c>
      <c r="K324" s="13"/>
      <c r="L324" s="13"/>
      <c r="M324" s="13"/>
      <c r="N324" s="15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9"/>
        <v/>
      </c>
      <c r="J325" s="14" t="str">
        <f t="shared" si="10"/>
        <v/>
      </c>
      <c r="K325" s="13"/>
      <c r="L325" s="13"/>
      <c r="M325" s="13"/>
      <c r="N325" s="15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9"/>
        <v/>
      </c>
      <c r="J326" s="14" t="str">
        <f t="shared" si="10"/>
        <v/>
      </c>
      <c r="K326" s="13"/>
      <c r="L326" s="13"/>
      <c r="M326" s="13"/>
      <c r="N326" s="15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9"/>
        <v/>
      </c>
      <c r="J327" s="14" t="str">
        <f t="shared" si="10"/>
        <v/>
      </c>
      <c r="K327" s="13"/>
      <c r="L327" s="13"/>
      <c r="M327" s="13"/>
      <c r="N327" s="15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9"/>
        <v/>
      </c>
      <c r="J328" s="14" t="str">
        <f t="shared" si="10"/>
        <v/>
      </c>
      <c r="K328" s="13"/>
      <c r="L328" s="13"/>
      <c r="M328" s="13"/>
      <c r="N328" s="15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9"/>
        <v/>
      </c>
      <c r="J329" s="14" t="str">
        <f t="shared" si="10"/>
        <v/>
      </c>
      <c r="K329" s="13"/>
      <c r="L329" s="13"/>
      <c r="M329" s="13"/>
      <c r="N329" s="15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9"/>
        <v/>
      </c>
      <c r="J330" s="14" t="str">
        <f t="shared" si="10"/>
        <v/>
      </c>
      <c r="K330" s="13"/>
      <c r="L330" s="13"/>
      <c r="M330" s="13"/>
      <c r="N330" s="15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9"/>
        <v/>
      </c>
      <c r="J331" s="14" t="str">
        <f t="shared" si="10"/>
        <v/>
      </c>
      <c r="K331" s="13"/>
      <c r="L331" s="13"/>
      <c r="M331" s="13"/>
      <c r="N331" s="15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9"/>
        <v/>
      </c>
      <c r="J332" s="14" t="str">
        <f t="shared" si="10"/>
        <v/>
      </c>
      <c r="K332" s="13"/>
      <c r="L332" s="13"/>
      <c r="M332" s="13"/>
      <c r="N332" s="15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9"/>
        <v/>
      </c>
      <c r="J333" s="14" t="str">
        <f t="shared" si="10"/>
        <v/>
      </c>
      <c r="K333" s="13"/>
      <c r="L333" s="13"/>
      <c r="M333" s="13"/>
      <c r="N333" s="15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9"/>
        <v/>
      </c>
      <c r="J334" s="14" t="str">
        <f t="shared" si="10"/>
        <v/>
      </c>
      <c r="K334" s="13"/>
      <c r="L334" s="13"/>
      <c r="M334" s="13"/>
      <c r="N334" s="15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9"/>
        <v/>
      </c>
      <c r="J335" s="14" t="str">
        <f t="shared" si="10"/>
        <v/>
      </c>
      <c r="K335" s="13"/>
      <c r="L335" s="13"/>
      <c r="M335" s="13"/>
      <c r="N335" s="15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9"/>
        <v/>
      </c>
      <c r="J336" s="14" t="str">
        <f t="shared" si="10"/>
        <v/>
      </c>
      <c r="K336" s="13"/>
      <c r="L336" s="13"/>
      <c r="M336" s="13"/>
      <c r="N336" s="15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9"/>
        <v/>
      </c>
      <c r="J337" s="14" t="str">
        <f t="shared" si="10"/>
        <v/>
      </c>
      <c r="K337" s="13"/>
      <c r="L337" s="13"/>
      <c r="M337" s="13"/>
      <c r="N337" s="15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9"/>
        <v/>
      </c>
      <c r="J338" s="14" t="str">
        <f t="shared" si="10"/>
        <v/>
      </c>
      <c r="K338" s="13"/>
      <c r="L338" s="13"/>
      <c r="M338" s="13"/>
      <c r="N338" s="15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ref="I339:I402" si="11">IF(SUM(B339:F339,H339)=0,"",SUM(B339:F339,H339))</f>
        <v/>
      </c>
      <c r="J339" s="14" t="str">
        <f t="shared" ref="J339:J402" si="12">IF(I339="","",1440-I339)</f>
        <v/>
      </c>
      <c r="K339" s="13"/>
      <c r="L339" s="13"/>
      <c r="M339" s="13"/>
      <c r="N339" s="15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1"/>
        <v/>
      </c>
      <c r="J340" s="14" t="str">
        <f t="shared" si="12"/>
        <v/>
      </c>
      <c r="K340" s="13"/>
      <c r="L340" s="13"/>
      <c r="M340" s="13"/>
      <c r="N340" s="15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1"/>
        <v/>
      </c>
      <c r="J341" s="14" t="str">
        <f t="shared" si="12"/>
        <v/>
      </c>
      <c r="K341" s="13"/>
      <c r="L341" s="13"/>
      <c r="M341" s="13"/>
      <c r="N341" s="15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1"/>
        <v/>
      </c>
      <c r="J342" s="14" t="str">
        <f t="shared" si="12"/>
        <v/>
      </c>
      <c r="K342" s="13"/>
      <c r="L342" s="13"/>
      <c r="M342" s="13"/>
      <c r="N342" s="15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1"/>
        <v/>
      </c>
      <c r="J343" s="14" t="str">
        <f t="shared" si="12"/>
        <v/>
      </c>
      <c r="K343" s="13"/>
      <c r="L343" s="13"/>
      <c r="M343" s="13"/>
      <c r="N343" s="15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1"/>
        <v/>
      </c>
      <c r="J344" s="14" t="str">
        <f t="shared" si="12"/>
        <v/>
      </c>
      <c r="K344" s="13"/>
      <c r="L344" s="13"/>
      <c r="M344" s="13"/>
      <c r="N344" s="15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1"/>
        <v/>
      </c>
      <c r="J345" s="14" t="str">
        <f t="shared" si="12"/>
        <v/>
      </c>
      <c r="K345" s="13"/>
      <c r="L345" s="13"/>
      <c r="M345" s="13"/>
      <c r="N345" s="15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1"/>
        <v/>
      </c>
      <c r="J346" s="14" t="str">
        <f t="shared" si="12"/>
        <v/>
      </c>
      <c r="K346" s="13"/>
      <c r="L346" s="13"/>
      <c r="M346" s="13"/>
      <c r="N346" s="15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1"/>
        <v/>
      </c>
      <c r="J347" s="14" t="str">
        <f t="shared" si="12"/>
        <v/>
      </c>
      <c r="K347" s="13"/>
      <c r="L347" s="13"/>
      <c r="M347" s="13"/>
      <c r="N347" s="15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1"/>
        <v/>
      </c>
      <c r="J348" s="14" t="str">
        <f t="shared" si="12"/>
        <v/>
      </c>
      <c r="K348" s="13"/>
      <c r="L348" s="13"/>
      <c r="M348" s="13"/>
      <c r="N348" s="15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1"/>
        <v/>
      </c>
      <c r="J349" s="14" t="str">
        <f t="shared" si="12"/>
        <v/>
      </c>
      <c r="K349" s="13"/>
      <c r="L349" s="13"/>
      <c r="M349" s="13"/>
      <c r="N349" s="15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1"/>
        <v/>
      </c>
      <c r="J350" s="14" t="str">
        <f t="shared" si="12"/>
        <v/>
      </c>
      <c r="K350" s="13"/>
      <c r="L350" s="13"/>
      <c r="M350" s="13"/>
      <c r="N350" s="15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1"/>
        <v/>
      </c>
      <c r="J351" s="14" t="str">
        <f t="shared" si="12"/>
        <v/>
      </c>
      <c r="K351" s="13"/>
      <c r="L351" s="13"/>
      <c r="M351" s="13"/>
      <c r="N351" s="15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1"/>
        <v/>
      </c>
      <c r="J352" s="14" t="str">
        <f t="shared" si="12"/>
        <v/>
      </c>
      <c r="K352" s="13"/>
      <c r="L352" s="13"/>
      <c r="M352" s="13"/>
      <c r="N352" s="15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1"/>
        <v/>
      </c>
      <c r="J353" s="14" t="str">
        <f t="shared" si="12"/>
        <v/>
      </c>
      <c r="K353" s="13"/>
      <c r="L353" s="13"/>
      <c r="M353" s="13"/>
      <c r="N353" s="15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1"/>
        <v/>
      </c>
      <c r="J354" s="14" t="str">
        <f t="shared" si="12"/>
        <v/>
      </c>
      <c r="K354" s="13"/>
      <c r="L354" s="13"/>
      <c r="M354" s="13"/>
      <c r="N354" s="15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1"/>
        <v/>
      </c>
      <c r="J355" s="14" t="str">
        <f t="shared" si="12"/>
        <v/>
      </c>
      <c r="K355" s="13"/>
      <c r="L355" s="13"/>
      <c r="M355" s="13"/>
      <c r="N355" s="15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1"/>
        <v/>
      </c>
      <c r="J356" s="14" t="str">
        <f t="shared" si="12"/>
        <v/>
      </c>
      <c r="K356" s="13"/>
      <c r="L356" s="13"/>
      <c r="M356" s="13"/>
      <c r="N356" s="15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1"/>
        <v/>
      </c>
      <c r="J357" s="14" t="str">
        <f t="shared" si="12"/>
        <v/>
      </c>
      <c r="K357" s="13"/>
      <c r="L357" s="13"/>
      <c r="M357" s="13"/>
      <c r="N357" s="15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1"/>
        <v/>
      </c>
      <c r="J358" s="14" t="str">
        <f t="shared" si="12"/>
        <v/>
      </c>
      <c r="K358" s="13"/>
      <c r="L358" s="13"/>
      <c r="M358" s="13"/>
      <c r="N358" s="15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1"/>
        <v/>
      </c>
      <c r="J359" s="14" t="str">
        <f t="shared" si="12"/>
        <v/>
      </c>
      <c r="K359" s="13"/>
      <c r="L359" s="13"/>
      <c r="M359" s="13"/>
      <c r="N359" s="15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1"/>
        <v/>
      </c>
      <c r="J360" s="14" t="str">
        <f t="shared" si="12"/>
        <v/>
      </c>
      <c r="K360" s="13"/>
      <c r="L360" s="13"/>
      <c r="M360" s="13"/>
      <c r="N360" s="15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1"/>
        <v/>
      </c>
      <c r="J361" s="14" t="str">
        <f t="shared" si="12"/>
        <v/>
      </c>
      <c r="K361" s="13"/>
      <c r="L361" s="13"/>
      <c r="M361" s="13"/>
      <c r="N361" s="15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1"/>
        <v/>
      </c>
      <c r="J362" s="14" t="str">
        <f t="shared" si="12"/>
        <v/>
      </c>
      <c r="K362" s="13"/>
      <c r="L362" s="13"/>
      <c r="M362" s="13"/>
      <c r="N362" s="15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1"/>
        <v/>
      </c>
      <c r="J363" s="14" t="str">
        <f t="shared" si="12"/>
        <v/>
      </c>
      <c r="K363" s="13"/>
      <c r="L363" s="13"/>
      <c r="M363" s="13"/>
      <c r="N363" s="15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1"/>
        <v/>
      </c>
      <c r="J364" s="14" t="str">
        <f t="shared" si="12"/>
        <v/>
      </c>
      <c r="K364" s="13"/>
      <c r="L364" s="13"/>
      <c r="M364" s="13"/>
      <c r="N364" s="15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1"/>
        <v/>
      </c>
      <c r="J365" s="14" t="str">
        <f t="shared" si="12"/>
        <v/>
      </c>
      <c r="K365" s="13"/>
      <c r="L365" s="13"/>
      <c r="M365" s="13"/>
      <c r="N365" s="15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1"/>
        <v/>
      </c>
      <c r="J366" s="14" t="str">
        <f t="shared" si="12"/>
        <v/>
      </c>
      <c r="K366" s="13"/>
      <c r="L366" s="13"/>
      <c r="M366" s="13"/>
      <c r="N366" s="15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1"/>
        <v/>
      </c>
      <c r="J367" s="14" t="str">
        <f t="shared" si="12"/>
        <v/>
      </c>
      <c r="K367" s="13"/>
      <c r="L367" s="13"/>
      <c r="M367" s="13"/>
      <c r="N367" s="15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1"/>
        <v/>
      </c>
      <c r="J368" s="14" t="str">
        <f t="shared" si="12"/>
        <v/>
      </c>
      <c r="K368" s="13"/>
      <c r="L368" s="13"/>
      <c r="M368" s="13"/>
      <c r="N368" s="15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1"/>
        <v/>
      </c>
      <c r="J369" s="14" t="str">
        <f t="shared" si="12"/>
        <v/>
      </c>
      <c r="K369" s="13"/>
      <c r="L369" s="13"/>
      <c r="M369" s="13"/>
      <c r="N369" s="15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1"/>
        <v/>
      </c>
      <c r="J370" s="14" t="str">
        <f t="shared" si="12"/>
        <v/>
      </c>
      <c r="K370" s="13"/>
      <c r="L370" s="13"/>
      <c r="M370" s="13"/>
      <c r="N370" s="15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1"/>
        <v/>
      </c>
      <c r="J371" s="14" t="str">
        <f t="shared" si="12"/>
        <v/>
      </c>
      <c r="K371" s="13"/>
      <c r="L371" s="13"/>
      <c r="M371" s="13"/>
      <c r="N371" s="15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1"/>
        <v/>
      </c>
      <c r="J372" s="14" t="str">
        <f t="shared" si="12"/>
        <v/>
      </c>
      <c r="K372" s="13"/>
      <c r="L372" s="13"/>
      <c r="M372" s="13"/>
      <c r="N372" s="15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1"/>
        <v/>
      </c>
      <c r="J373" s="14" t="str">
        <f t="shared" si="12"/>
        <v/>
      </c>
      <c r="K373" s="13"/>
      <c r="L373" s="13"/>
      <c r="M373" s="13"/>
      <c r="N373" s="15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1"/>
        <v/>
      </c>
      <c r="J374" s="14" t="str">
        <f t="shared" si="12"/>
        <v/>
      </c>
      <c r="K374" s="13"/>
      <c r="L374" s="13"/>
      <c r="M374" s="13"/>
      <c r="N374" s="15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1"/>
        <v/>
      </c>
      <c r="J375" s="14" t="str">
        <f t="shared" si="12"/>
        <v/>
      </c>
      <c r="K375" s="13"/>
      <c r="L375" s="13"/>
      <c r="M375" s="13"/>
      <c r="N375" s="15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1"/>
        <v/>
      </c>
      <c r="J376" s="14" t="str">
        <f t="shared" si="12"/>
        <v/>
      </c>
      <c r="K376" s="13"/>
      <c r="L376" s="13"/>
      <c r="M376" s="13"/>
      <c r="N376" s="15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1"/>
        <v/>
      </c>
      <c r="J377" s="14" t="str">
        <f t="shared" si="12"/>
        <v/>
      </c>
      <c r="K377" s="13"/>
      <c r="L377" s="13"/>
      <c r="M377" s="13"/>
      <c r="N377" s="15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1"/>
        <v/>
      </c>
      <c r="J378" s="14" t="str">
        <f t="shared" si="12"/>
        <v/>
      </c>
      <c r="K378" s="13"/>
      <c r="L378" s="13"/>
      <c r="M378" s="13"/>
      <c r="N378" s="15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1"/>
        <v/>
      </c>
      <c r="J379" s="14" t="str">
        <f t="shared" si="12"/>
        <v/>
      </c>
      <c r="K379" s="13"/>
      <c r="L379" s="13"/>
      <c r="M379" s="13"/>
      <c r="N379" s="15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1"/>
        <v/>
      </c>
      <c r="J380" s="14" t="str">
        <f t="shared" si="12"/>
        <v/>
      </c>
      <c r="K380" s="13"/>
      <c r="L380" s="13"/>
      <c r="M380" s="13"/>
      <c r="N380" s="15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1"/>
        <v/>
      </c>
      <c r="J381" s="14" t="str">
        <f t="shared" si="12"/>
        <v/>
      </c>
      <c r="K381" s="13"/>
      <c r="L381" s="13"/>
      <c r="M381" s="13"/>
      <c r="N381" s="15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1"/>
        <v/>
      </c>
      <c r="J382" s="14" t="str">
        <f t="shared" si="12"/>
        <v/>
      </c>
      <c r="K382" s="13"/>
      <c r="L382" s="13"/>
      <c r="M382" s="13"/>
      <c r="N382" s="15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1"/>
        <v/>
      </c>
      <c r="J383" s="14" t="str">
        <f t="shared" si="12"/>
        <v/>
      </c>
      <c r="K383" s="13"/>
      <c r="L383" s="13"/>
      <c r="M383" s="13"/>
      <c r="N383" s="15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1"/>
        <v/>
      </c>
      <c r="J384" s="14" t="str">
        <f t="shared" si="12"/>
        <v/>
      </c>
      <c r="K384" s="13"/>
      <c r="L384" s="13"/>
      <c r="M384" s="13"/>
      <c r="N384" s="15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1"/>
        <v/>
      </c>
      <c r="J385" s="14" t="str">
        <f t="shared" si="12"/>
        <v/>
      </c>
      <c r="K385" s="13"/>
      <c r="L385" s="13"/>
      <c r="M385" s="13"/>
      <c r="N385" s="15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1"/>
        <v/>
      </c>
      <c r="J386" s="14" t="str">
        <f t="shared" si="12"/>
        <v/>
      </c>
      <c r="K386" s="13"/>
      <c r="L386" s="13"/>
      <c r="M386" s="13"/>
      <c r="N386" s="15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1"/>
        <v/>
      </c>
      <c r="J387" s="14" t="str">
        <f t="shared" si="12"/>
        <v/>
      </c>
      <c r="K387" s="13"/>
      <c r="L387" s="13"/>
      <c r="M387" s="13"/>
      <c r="N387" s="15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1"/>
        <v/>
      </c>
      <c r="J388" s="14" t="str">
        <f t="shared" si="12"/>
        <v/>
      </c>
      <c r="K388" s="13"/>
      <c r="L388" s="13"/>
      <c r="M388" s="13"/>
      <c r="N388" s="15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1"/>
        <v/>
      </c>
      <c r="J389" s="14" t="str">
        <f t="shared" si="12"/>
        <v/>
      </c>
      <c r="K389" s="13"/>
      <c r="L389" s="13"/>
      <c r="M389" s="13"/>
      <c r="N389" s="15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1"/>
        <v/>
      </c>
      <c r="J390" s="14" t="str">
        <f t="shared" si="12"/>
        <v/>
      </c>
      <c r="K390" s="13"/>
      <c r="L390" s="13"/>
      <c r="M390" s="13"/>
      <c r="N390" s="15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1"/>
        <v/>
      </c>
      <c r="J391" s="14" t="str">
        <f t="shared" si="12"/>
        <v/>
      </c>
      <c r="K391" s="13"/>
      <c r="L391" s="13"/>
      <c r="M391" s="13"/>
      <c r="N391" s="15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1"/>
        <v/>
      </c>
      <c r="J392" s="14" t="str">
        <f t="shared" si="12"/>
        <v/>
      </c>
      <c r="K392" s="13"/>
      <c r="L392" s="13"/>
      <c r="M392" s="13"/>
      <c r="N392" s="15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1"/>
        <v/>
      </c>
      <c r="J393" s="14" t="str">
        <f t="shared" si="12"/>
        <v/>
      </c>
      <c r="K393" s="13"/>
      <c r="L393" s="13"/>
      <c r="M393" s="13"/>
      <c r="N393" s="15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1"/>
        <v/>
      </c>
      <c r="J394" s="14" t="str">
        <f t="shared" si="12"/>
        <v/>
      </c>
      <c r="K394" s="13"/>
      <c r="L394" s="13"/>
      <c r="M394" s="13"/>
      <c r="N394" s="15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1"/>
        <v/>
      </c>
      <c r="J395" s="14" t="str">
        <f t="shared" si="12"/>
        <v/>
      </c>
      <c r="K395" s="13"/>
      <c r="L395" s="13"/>
      <c r="M395" s="13"/>
      <c r="N395" s="15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1"/>
        <v/>
      </c>
      <c r="J396" s="14" t="str">
        <f t="shared" si="12"/>
        <v/>
      </c>
      <c r="K396" s="13"/>
      <c r="L396" s="13"/>
      <c r="M396" s="13"/>
      <c r="N396" s="15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1"/>
        <v/>
      </c>
      <c r="J397" s="14" t="str">
        <f t="shared" si="12"/>
        <v/>
      </c>
      <c r="K397" s="13"/>
      <c r="L397" s="13"/>
      <c r="M397" s="13"/>
      <c r="N397" s="15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1"/>
        <v/>
      </c>
      <c r="J398" s="14" t="str">
        <f t="shared" si="12"/>
        <v/>
      </c>
      <c r="K398" s="13"/>
      <c r="L398" s="13"/>
      <c r="M398" s="13"/>
      <c r="N398" s="15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1"/>
        <v/>
      </c>
      <c r="J399" s="14" t="str">
        <f t="shared" si="12"/>
        <v/>
      </c>
      <c r="K399" s="13"/>
      <c r="L399" s="13"/>
      <c r="M399" s="13"/>
      <c r="N399" s="15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1"/>
        <v/>
      </c>
      <c r="J400" s="14" t="str">
        <f t="shared" si="12"/>
        <v/>
      </c>
      <c r="K400" s="13"/>
      <c r="L400" s="13"/>
      <c r="M400" s="13"/>
      <c r="N400" s="15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1"/>
        <v/>
      </c>
      <c r="J401" s="14" t="str">
        <f t="shared" si="12"/>
        <v/>
      </c>
      <c r="K401" s="13"/>
      <c r="L401" s="13"/>
      <c r="M401" s="13"/>
      <c r="N401" s="15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1"/>
        <v/>
      </c>
      <c r="J402" s="14" t="str">
        <f t="shared" si="12"/>
        <v/>
      </c>
      <c r="K402" s="13"/>
      <c r="L402" s="13"/>
      <c r="M402" s="13"/>
      <c r="N402" s="15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ref="I403:I414" si="13">IF(SUM(B403:F403,H403)=0,"",SUM(B403:F403,H403))</f>
        <v/>
      </c>
      <c r="J403" s="14" t="str">
        <f t="shared" ref="J403:J414" si="14">IF(I403="","",1440-I403)</f>
        <v/>
      </c>
      <c r="K403" s="13"/>
      <c r="L403" s="13"/>
      <c r="M403" s="13"/>
      <c r="N403" s="15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3"/>
        <v/>
      </c>
      <c r="J404" s="14" t="str">
        <f t="shared" si="14"/>
        <v/>
      </c>
      <c r="K404" s="13"/>
      <c r="L404" s="13"/>
      <c r="M404" s="13"/>
      <c r="N404" s="15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3"/>
        <v/>
      </c>
      <c r="J405" s="14" t="str">
        <f t="shared" si="14"/>
        <v/>
      </c>
      <c r="K405" s="13"/>
      <c r="L405" s="13"/>
      <c r="M405" s="13"/>
      <c r="N405" s="15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3"/>
        <v/>
      </c>
      <c r="J406" s="14" t="str">
        <f t="shared" si="14"/>
        <v/>
      </c>
      <c r="K406" s="13"/>
      <c r="L406" s="13"/>
      <c r="M406" s="13"/>
      <c r="N406" s="15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3"/>
        <v/>
      </c>
      <c r="J407" s="14" t="str">
        <f t="shared" si="14"/>
        <v/>
      </c>
      <c r="K407" s="13"/>
      <c r="L407" s="13"/>
      <c r="M407" s="13"/>
      <c r="N407" s="15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si="13"/>
        <v/>
      </c>
      <c r="J408" s="14" t="str">
        <f t="shared" si="14"/>
        <v/>
      </c>
      <c r="K408" s="13"/>
      <c r="L408" s="13"/>
      <c r="M408" s="13"/>
      <c r="N408" s="15"/>
    </row>
    <row r="409" spans="1:14" x14ac:dyDescent="0.3">
      <c r="A409" s="12"/>
      <c r="B409" s="13"/>
      <c r="C409" s="13"/>
      <c r="D409" s="13"/>
      <c r="E409" s="13"/>
      <c r="F409" s="13"/>
      <c r="G409" s="13"/>
      <c r="H409" s="13"/>
      <c r="I409" s="14" t="str">
        <f t="shared" si="13"/>
        <v/>
      </c>
      <c r="J409" s="14" t="str">
        <f t="shared" si="14"/>
        <v/>
      </c>
      <c r="K409" s="13"/>
      <c r="L409" s="13"/>
      <c r="M409" s="13"/>
      <c r="N409" s="15"/>
    </row>
    <row r="410" spans="1:14" x14ac:dyDescent="0.3">
      <c r="A410" s="12"/>
      <c r="B410" s="13"/>
      <c r="C410" s="13"/>
      <c r="D410" s="13"/>
      <c r="E410" s="13"/>
      <c r="F410" s="13"/>
      <c r="G410" s="13"/>
      <c r="H410" s="13"/>
      <c r="I410" s="14" t="str">
        <f t="shared" si="13"/>
        <v/>
      </c>
      <c r="J410" s="14" t="str">
        <f t="shared" si="14"/>
        <v/>
      </c>
      <c r="K410" s="13"/>
      <c r="L410" s="13"/>
      <c r="M410" s="13"/>
      <c r="N410" s="15"/>
    </row>
    <row r="411" spans="1:14" x14ac:dyDescent="0.3">
      <c r="A411" s="12"/>
      <c r="B411" s="13"/>
      <c r="C411" s="13"/>
      <c r="D411" s="13"/>
      <c r="E411" s="13"/>
      <c r="F411" s="13"/>
      <c r="G411" s="13"/>
      <c r="H411" s="13"/>
      <c r="I411" s="14" t="str">
        <f t="shared" si="13"/>
        <v/>
      </c>
      <c r="J411" s="14" t="str">
        <f t="shared" si="14"/>
        <v/>
      </c>
      <c r="K411" s="13"/>
      <c r="L411" s="13"/>
      <c r="M411" s="13"/>
      <c r="N411" s="15"/>
    </row>
    <row r="412" spans="1:14" x14ac:dyDescent="0.3">
      <c r="A412" s="12"/>
      <c r="B412" s="13"/>
      <c r="C412" s="13"/>
      <c r="D412" s="13"/>
      <c r="E412" s="13"/>
      <c r="F412" s="13"/>
      <c r="G412" s="13"/>
      <c r="H412" s="13"/>
      <c r="I412" s="14" t="str">
        <f t="shared" si="13"/>
        <v/>
      </c>
      <c r="J412" s="14" t="str">
        <f t="shared" si="14"/>
        <v/>
      </c>
      <c r="K412" s="13"/>
      <c r="L412" s="13"/>
      <c r="M412" s="13"/>
      <c r="N412" s="15"/>
    </row>
    <row r="413" spans="1:14" x14ac:dyDescent="0.3">
      <c r="A413" s="12"/>
      <c r="B413" s="13"/>
      <c r="C413" s="13"/>
      <c r="D413" s="13"/>
      <c r="E413" s="13"/>
      <c r="F413" s="13"/>
      <c r="G413" s="13"/>
      <c r="H413" s="13"/>
      <c r="I413" s="14" t="str">
        <f t="shared" si="13"/>
        <v/>
      </c>
      <c r="J413" s="14" t="str">
        <f t="shared" si="14"/>
        <v/>
      </c>
      <c r="K413" s="13"/>
      <c r="L413" s="13"/>
      <c r="M413" s="13"/>
      <c r="N413" s="15"/>
    </row>
    <row r="414" spans="1:14" x14ac:dyDescent="0.3">
      <c r="A414" s="12"/>
      <c r="B414" s="13"/>
      <c r="C414" s="13"/>
      <c r="D414" s="13"/>
      <c r="E414" s="13"/>
      <c r="F414" s="13"/>
      <c r="G414" s="13"/>
      <c r="H414" s="13"/>
      <c r="I414" s="14" t="str">
        <f t="shared" si="13"/>
        <v/>
      </c>
      <c r="J414" s="14" t="str">
        <f t="shared" si="14"/>
        <v/>
      </c>
      <c r="K414" s="13"/>
      <c r="L414" s="13"/>
      <c r="M414" s="13"/>
      <c r="N414" s="15"/>
    </row>
  </sheetData>
  <mergeCells count="6">
    <mergeCell ref="A4:N4"/>
    <mergeCell ref="A1:N1"/>
    <mergeCell ref="B2:D2"/>
    <mergeCell ref="F2:G2"/>
    <mergeCell ref="B3:D3"/>
    <mergeCell ref="F3:G3"/>
  </mergeCells>
  <conditionalFormatting sqref="J7:J19">
    <cfRule type="cellIs" dxfId="2" priority="16" operator="lessThan">
      <formula>0</formula>
    </cfRule>
  </conditionalFormatting>
  <conditionalFormatting sqref="J21:J34">
    <cfRule type="cellIs" dxfId="1" priority="2" operator="lessThan">
      <formula>0</formula>
    </cfRule>
  </conditionalFormatting>
  <conditionalFormatting sqref="J36">
    <cfRule type="cellIs" dxfId="0" priority="1" operator="lessThan">
      <formula>0</formula>
    </cfRule>
  </conditionalFormatting>
  <dataValidations count="6">
    <dataValidation type="list" allowBlank="1" sqref="K6 K20 K35 K37:K414" xr:uid="{00000000-0002-0000-0100-000000000000}">
      <formula1>"Excellent,Good,Neutral,Low,Stressed"</formula1>
    </dataValidation>
    <dataValidation type="list" allowBlank="1" sqref="L6 L20 L35 L37:L414" xr:uid="{00000000-0002-0000-0100-000001000000}">
      <formula1>"Very Satisfied,Satisfied,Neutral,Unsatisfied,Very Unsatisfied"</formula1>
    </dataValidation>
    <dataValidation type="list" allowBlank="1" sqref="M6 M20 M35 M37:M414" xr:uid="{00000000-0002-0000-0100-000002000000}">
      <formula1>"High,Medium,Low"</formula1>
    </dataValidation>
    <dataValidation type="list" allowBlank="1" prompt="Select today's energy level" sqref="M7:M19 M21:M34 M36" xr:uid="{0D74E575-3696-4A02-9720-7E31A71CB977}">
      <formula1>"High,Medium,Low"</formula1>
      <formula2>0</formula2>
    </dataValidation>
    <dataValidation type="list" allowBlank="1" prompt="Select today's satisfaction level" sqref="L7:L19 L21:L34 L36" xr:uid="{958D988E-6547-4B44-AF73-8A843FD7125B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7:K19 K21:K34 K36" xr:uid="{32F216CB-3283-455C-8C92-29E8938EB0D2}">
      <formula1>"Excellent,Good,Neutral,Low,Stressed"</formula1>
      <formula2>0</formula2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2026-08-25T05:22:50Z</dcterms:created>
  <dcterms:modified xsi:type="dcterms:W3CDTF">2026-09-16T19:08:41Z</dcterms:modified>
  <cp:category/>
</cp:coreProperties>
</file>